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Sales" sheetId="1" r:id="rId4"/>
    <sheet state="visible" name="DailySummary" sheetId="2" r:id="rId5"/>
    <sheet state="visible" name="Inventory" sheetId="3" r:id="rId6"/>
    <sheet state="visible" name="Expenses" sheetId="4" r:id="rId7"/>
    <sheet state="visible" name="StockInOut" sheetId="5" r:id="rId8"/>
    <sheet state="visible" name="StockBalance" sheetId="6" r:id="rId9"/>
    <sheet state="visible" name="MonthlySummary" sheetId="7" r:id="rId10"/>
  </sheets>
  <definedNames/>
  <calcPr/>
</workbook>
</file>

<file path=xl/sharedStrings.xml><?xml version="1.0" encoding="utf-8"?>
<sst xmlns="http://schemas.openxmlformats.org/spreadsheetml/2006/main" count="1737" uniqueCount="186">
  <si>
    <t>Category</t>
  </si>
  <si>
    <t>Item</t>
  </si>
  <si>
    <t>Price</t>
  </si>
  <si>
    <t>Cash Qty</t>
  </si>
  <si>
    <t>Cash Sales</t>
  </si>
  <si>
    <t>GCash Qty</t>
  </si>
  <si>
    <t>GCash Sales</t>
  </si>
  <si>
    <t>Foodpanda Qty</t>
  </si>
  <si>
    <t>Foodpanda Sales</t>
  </si>
  <si>
    <t>Total Qty</t>
  </si>
  <si>
    <t>Total Sales</t>
  </si>
  <si>
    <t>Date</t>
  </si>
  <si>
    <t>Ala Carte</t>
  </si>
  <si>
    <t>Korean Spicy Chicken</t>
  </si>
  <si>
    <t>Korean Spicy Pork</t>
  </si>
  <si>
    <t>Beef Bulgogi</t>
  </si>
  <si>
    <t>Teokbokki (Rice cake)</t>
  </si>
  <si>
    <t>Spicy Cheesy Chicken</t>
  </si>
  <si>
    <t>Bam-E</t>
  </si>
  <si>
    <t>Pork Binagoongan</t>
  </si>
  <si>
    <t>Pork Sisig</t>
  </si>
  <si>
    <t>Sizzlers (Unli Rice + 1 Free Drink)</t>
  </si>
  <si>
    <t>Chicken Sisig</t>
  </si>
  <si>
    <t>Squid Sisig</t>
  </si>
  <si>
    <t>Porkchop</t>
  </si>
  <si>
    <t>Pork Liempo</t>
  </si>
  <si>
    <t>Pork steak</t>
  </si>
  <si>
    <t>Beef Steak</t>
  </si>
  <si>
    <t>Burger Steak</t>
  </si>
  <si>
    <t>Fried Chicken</t>
  </si>
  <si>
    <t>Beef Ala Pobre</t>
  </si>
  <si>
    <t>Fish Fillet</t>
  </si>
  <si>
    <t>Squid rings</t>
  </si>
  <si>
    <t>Classic Cutlets</t>
  </si>
  <si>
    <t>Fish Cutlet</t>
  </si>
  <si>
    <t>Pork Cutlet</t>
  </si>
  <si>
    <t>Chicken Cutlet</t>
  </si>
  <si>
    <t>Beef Cutlet</t>
  </si>
  <si>
    <t>Rice Toppings (Fried Rice)</t>
  </si>
  <si>
    <t>Siomai</t>
  </si>
  <si>
    <t>Sisig</t>
  </si>
  <si>
    <t>Chicken Nuggets</t>
  </si>
  <si>
    <t>Appetizers</t>
  </si>
  <si>
    <t>Egg roll</t>
  </si>
  <si>
    <t>Kimbap</t>
  </si>
  <si>
    <t>Steam Egg</t>
  </si>
  <si>
    <t>Black Noodles</t>
  </si>
  <si>
    <t>Drinks &amp; Extras</t>
  </si>
  <si>
    <t>Mt dew</t>
  </si>
  <si>
    <t>Pepsi</t>
  </si>
  <si>
    <t>Bottled Water</t>
  </si>
  <si>
    <t>Plain Rice</t>
  </si>
  <si>
    <t>Garlic Rice</t>
  </si>
  <si>
    <t>Egg</t>
  </si>
  <si>
    <t>Soup and Stews</t>
  </si>
  <si>
    <t>Beef Pares</t>
  </si>
  <si>
    <t>Beef Mami</t>
  </si>
  <si>
    <t>Pork Ramen</t>
  </si>
  <si>
    <t>TOTAL</t>
  </si>
  <si>
    <t>Remarks</t>
  </si>
  <si>
    <t>closed</t>
  </si>
  <si>
    <t>Total</t>
  </si>
  <si>
    <t>Food panda Sales</t>
  </si>
  <si>
    <t>4, 170</t>
  </si>
  <si>
    <t>COH Sales</t>
  </si>
  <si>
    <t>Expenses from kaha</t>
  </si>
  <si>
    <t>COH</t>
  </si>
  <si>
    <t>Petty Cash</t>
  </si>
  <si>
    <t>CLOSED</t>
  </si>
  <si>
    <t>Expenses</t>
  </si>
  <si>
    <t>Quantity</t>
  </si>
  <si>
    <t>Unit</t>
  </si>
  <si>
    <t>Cost per Unit (₱)</t>
  </si>
  <si>
    <t>Total Cost (₱)</t>
  </si>
  <si>
    <t>Supplier / Store</t>
  </si>
  <si>
    <t>Notes</t>
  </si>
  <si>
    <t>lamas, dishwashing, sugar</t>
  </si>
  <si>
    <t>supplies</t>
  </si>
  <si>
    <t>egg, softdrinks</t>
  </si>
  <si>
    <t>pork, chicken</t>
  </si>
  <si>
    <t>softdrinks</t>
  </si>
  <si>
    <t>belly, porkchop, c.breast, carrots, pepino, cabbage, cheese, vetsin, calamansi, spring onions, mantika, itlog</t>
  </si>
  <si>
    <t>softdrinks, sugar</t>
  </si>
  <si>
    <t>egg, rice</t>
  </si>
  <si>
    <t>bugas, parcel(476), Aldrin(700)</t>
  </si>
  <si>
    <t>includes staff CA Aldrin 700</t>
  </si>
  <si>
    <t>softdrinks, egg, springonions</t>
  </si>
  <si>
    <t>vetsin, dishwashing, Aldrin(500)</t>
  </si>
  <si>
    <t>includes staff CA Aldrin 500</t>
  </si>
  <si>
    <t>SM (2,930), Libertad (2,690)</t>
  </si>
  <si>
    <t>SM + Libertad</t>
  </si>
  <si>
    <t>dishwashing</t>
  </si>
  <si>
    <t>Water (120), Softdrinks (1160)</t>
  </si>
  <si>
    <t>Rice, pork</t>
  </si>
  <si>
    <t>SM (Meat, ramen, sauce)</t>
  </si>
  <si>
    <t>SM</t>
  </si>
  <si>
    <t>Grocery</t>
  </si>
  <si>
    <t>payment: Card</t>
  </si>
  <si>
    <t>Egg, Calamansi</t>
  </si>
  <si>
    <t>Rice 75, Grocery 2000</t>
  </si>
  <si>
    <t>Egg 2 tray(480), Pork (243), Lamas (240)</t>
  </si>
  <si>
    <t>Meat</t>
  </si>
  <si>
    <t>payment: Atome</t>
  </si>
  <si>
    <t>tarp and takeoutboxes</t>
  </si>
  <si>
    <t>mt dew. 3 case</t>
  </si>
  <si>
    <t>case</t>
  </si>
  <si>
    <t>egg</t>
  </si>
  <si>
    <t>pork</t>
  </si>
  <si>
    <t>chicken</t>
  </si>
  <si>
    <t>cabbage, carrots,salt</t>
  </si>
  <si>
    <t>dry peas and corn</t>
  </si>
  <si>
    <t>rice</t>
  </si>
  <si>
    <t>beef</t>
  </si>
  <si>
    <t>kg</t>
  </si>
  <si>
    <t>fish fillet</t>
  </si>
  <si>
    <t>pcs</t>
  </si>
  <si>
    <t>butter</t>
  </si>
  <si>
    <t>bar</t>
  </si>
  <si>
    <t>chicken wings</t>
  </si>
  <si>
    <t>flour,cabbage,hotdog,trapo</t>
  </si>
  <si>
    <t>Onion, carrots</t>
  </si>
  <si>
    <t>Description</t>
  </si>
  <si>
    <t>Payment Method</t>
  </si>
  <si>
    <t>Amount (₱)</t>
  </si>
  <si>
    <t>utilities</t>
  </si>
  <si>
    <t>electricity bill, water</t>
  </si>
  <si>
    <t>gcash</t>
  </si>
  <si>
    <t>staff</t>
  </si>
  <si>
    <t>Aldrin</t>
  </si>
  <si>
    <t>cash</t>
  </si>
  <si>
    <t>cash advance (Ken)</t>
  </si>
  <si>
    <t>Ken (1500), Aldrin (4500)</t>
  </si>
  <si>
    <t>Ken (900)</t>
  </si>
  <si>
    <t>Ken (450)</t>
  </si>
  <si>
    <t>Aldrin (600) CA</t>
  </si>
  <si>
    <t>CA Ken (400), Aldrin (200)</t>
  </si>
  <si>
    <t>CA Aldrin (500), Receipt (171)</t>
  </si>
  <si>
    <t>Rice, Aldrin (270), Ken (150)</t>
  </si>
  <si>
    <t>Aldrin CA</t>
  </si>
  <si>
    <t>Softdrinks (375), Fare (50), Aldrin CA (550)</t>
  </si>
  <si>
    <t>Ken 100, parcel 94</t>
  </si>
  <si>
    <t>supplies/staff</t>
  </si>
  <si>
    <t>tarp and menu</t>
  </si>
  <si>
    <t>aldrin</t>
  </si>
  <si>
    <t>plete</t>
  </si>
  <si>
    <t>water  container</t>
  </si>
  <si>
    <t>athena</t>
  </si>
  <si>
    <t>ken sweldo</t>
  </si>
  <si>
    <t>wifi</t>
  </si>
  <si>
    <t>aldrin sweldo 4260</t>
  </si>
  <si>
    <t>Pork, sugar,green peas, rice, gochujhang</t>
  </si>
  <si>
    <t>Beef(659) tissue(50)</t>
  </si>
  <si>
    <t>FP sales</t>
  </si>
  <si>
    <t>meat, veges, bugas, trapo</t>
  </si>
  <si>
    <t>guard</t>
  </si>
  <si>
    <t>familyv expenses</t>
  </si>
  <si>
    <t>chicken, pork,grocery, athena</t>
  </si>
  <si>
    <t>Type</t>
  </si>
  <si>
    <t>Qty</t>
  </si>
  <si>
    <t>Reason</t>
  </si>
  <si>
    <t>Reference</t>
  </si>
  <si>
    <t>IN</t>
  </si>
  <si>
    <t>tray</t>
  </si>
  <si>
    <t>purchase</t>
  </si>
  <si>
    <t>PO</t>
  </si>
  <si>
    <t>Beef</t>
  </si>
  <si>
    <t>g</t>
  </si>
  <si>
    <t>Pork</t>
  </si>
  <si>
    <t>Purchase</t>
  </si>
  <si>
    <t>Rice</t>
  </si>
  <si>
    <t>Fish fillet</t>
  </si>
  <si>
    <t>Total In</t>
  </si>
  <si>
    <t>Total Out</t>
  </si>
  <si>
    <t>Balance</t>
  </si>
  <si>
    <t>Chicken</t>
  </si>
  <si>
    <t>Squid</t>
  </si>
  <si>
    <t>Softdrinks</t>
  </si>
  <si>
    <t>bottle</t>
  </si>
  <si>
    <t>Oil</t>
  </si>
  <si>
    <t>L</t>
  </si>
  <si>
    <t>Month</t>
  </si>
  <si>
    <t>Sales (Summary!E)</t>
  </si>
  <si>
    <t>Supplies (Inventory!G)</t>
  </si>
  <si>
    <t>Overhead (Expenses!E)</t>
  </si>
  <si>
    <t>Total Expenses</t>
  </si>
  <si>
    <t>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</si>
</sst>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yyyy-mm-dd h:mm:ss"/>
    <numFmt numFmtId="167" formatCode="yyyy-mm-dd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</fills>
  <borders count="3">
    <border/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0" fillId="0" fontId="3" numFmtId="0" xfId="0" applyFont="1"/>
    <xf borderId="0" fillId="3" fontId="3" numFmtId="0" xfId="0" applyFont="1"/>
    <xf borderId="0" fillId="0" fontId="2" numFmtId="164" xfId="0" applyFont="1" applyNumberFormat="1"/>
    <xf borderId="0" fillId="3" fontId="3" numFmtId="0" xfId="0" applyAlignment="1" applyFont="1">
      <alignment readingOrder="0"/>
    </xf>
    <xf borderId="2" fillId="4" fontId="1" numFmtId="0" xfId="0" applyBorder="1" applyFill="1" applyFont="1"/>
    <xf borderId="0" fillId="4" fontId="3" numFmtId="0" xfId="0" applyFont="1"/>
    <xf borderId="0" fillId="4" fontId="2" numFmtId="164" xfId="0" applyFont="1" applyNumberFormat="1"/>
    <xf borderId="2" fillId="0" fontId="1" numFmtId="0" xfId="0" applyBorder="1" applyFont="1"/>
    <xf borderId="0" fillId="4" fontId="2" numFmtId="164" xfId="0" applyAlignment="1" applyFont="1" applyNumberFormat="1">
      <alignment readingOrder="0"/>
    </xf>
    <xf borderId="2" fillId="5" fontId="1" numFmtId="0" xfId="0" applyBorder="1" applyFill="1" applyFont="1"/>
    <xf borderId="0" fillId="5" fontId="3" numFmtId="0" xfId="0" applyFont="1"/>
    <xf borderId="0" fillId="5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5" fontId="4" numFmtId="0" xfId="0" applyFont="1"/>
    <xf borderId="1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3" fontId="3" numFmtId="0" xfId="0" applyAlignment="1" applyFont="1">
      <alignment horizontal="right" readingOrder="0" vertical="bottom"/>
    </xf>
    <xf borderId="2" fillId="4" fontId="1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2" fillId="4" fontId="1" numFmtId="0" xfId="0" applyAlignment="1" applyBorder="1" applyFont="1">
      <alignment horizontal="right" vertical="bottom"/>
    </xf>
    <xf borderId="0" fillId="4" fontId="3" numFmtId="164" xfId="0" applyAlignment="1" applyFont="1" applyNumberFormat="1">
      <alignment horizontal="right" readingOrder="0" vertical="bottom"/>
    </xf>
    <xf borderId="0" fillId="6" fontId="5" numFmtId="0" xfId="0" applyFill="1" applyFont="1"/>
    <xf borderId="0" fillId="0" fontId="3" numFmtId="164" xfId="0" applyAlignment="1" applyFont="1" applyNumberFormat="1">
      <alignment horizontal="right" vertical="bottom"/>
    </xf>
    <xf borderId="0" fillId="5" fontId="2" numFmtId="0" xfId="0" applyFont="1"/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5" numFmtId="0" xfId="0" applyFont="1"/>
    <xf borderId="0" fillId="0" fontId="3" numFmtId="3" xfId="0" applyAlignment="1" applyFont="1" applyNumberFormat="1">
      <alignment horizontal="right" vertical="bottom"/>
    </xf>
    <xf borderId="0" fillId="0" fontId="2" numFmtId="3" xfId="0" applyFont="1" applyNumberFormat="1"/>
    <xf borderId="0" fillId="0" fontId="3" numFmtId="165" xfId="0" applyAlignment="1" applyFont="1" applyNumberFormat="1">
      <alignment horizontal="right" vertical="bottom"/>
    </xf>
    <xf borderId="1" fillId="2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5" fontId="4" numFmtId="0" xfId="0" applyAlignment="1" applyFont="1">
      <alignment readingOrder="0"/>
    </xf>
    <xf borderId="0" fillId="5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3" xfId="0" applyFont="1" applyNumberFormat="1"/>
    <xf borderId="0" fillId="2" fontId="6" numFmtId="0" xfId="0" applyFont="1"/>
    <xf borderId="0" fillId="4" fontId="3" numFmtId="166" xfId="0" applyFont="1" applyNumberFormat="1"/>
    <xf borderId="0" fillId="4" fontId="4" numFmtId="0" xfId="0" applyFont="1"/>
    <xf borderId="0" fillId="0" fontId="3" numFmtId="164" xfId="0" applyAlignment="1" applyFont="1" applyNumberForma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2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6.71"/>
    <col customWidth="1" min="3" max="3" width="8.71"/>
    <col customWidth="1" min="4" max="4" width="9.71"/>
    <col customWidth="1" min="5" max="5" width="11.71"/>
    <col customWidth="1" min="6" max="6" width="9.71"/>
    <col customWidth="1" min="7" max="7" width="12.71"/>
    <col customWidth="1" min="8" max="8" width="13.71"/>
    <col customWidth="1" min="9" max="9" width="15.71"/>
    <col customWidth="1" min="10" max="10" width="10.71"/>
    <col customWidth="1" min="11" max="11" width="12.71"/>
    <col customWidth="1" min="12" max="12" width="15.4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12</v>
      </c>
      <c r="B2" s="3" t="s">
        <v>13</v>
      </c>
      <c r="C2" s="3">
        <v>189.0</v>
      </c>
      <c r="D2" s="5"/>
      <c r="E2" s="3">
        <f t="shared" ref="E2:E13" si="2">C2*D2</f>
        <v>0</v>
      </c>
      <c r="F2" s="5"/>
      <c r="G2" s="4">
        <f t="shared" ref="G2:G44" si="3">C2*F2</f>
        <v>0</v>
      </c>
      <c r="H2" s="5"/>
      <c r="I2" s="3">
        <f t="shared" ref="I2:I44" si="4">C2*H2</f>
        <v>0</v>
      </c>
      <c r="J2" s="3">
        <f t="shared" ref="J2:K2" si="1">D2+F2+H2</f>
        <v>0</v>
      </c>
      <c r="K2" s="3">
        <f t="shared" si="1"/>
        <v>0</v>
      </c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12</v>
      </c>
      <c r="B3" s="3" t="s">
        <v>14</v>
      </c>
      <c r="C3" s="3">
        <v>189.0</v>
      </c>
      <c r="D3" s="5"/>
      <c r="E3" s="3">
        <f t="shared" si="2"/>
        <v>0</v>
      </c>
      <c r="F3" s="5">
        <v>1.0</v>
      </c>
      <c r="G3" s="3">
        <f t="shared" si="3"/>
        <v>189</v>
      </c>
      <c r="H3" s="5"/>
      <c r="I3" s="3">
        <f t="shared" si="4"/>
        <v>0</v>
      </c>
      <c r="J3" s="3">
        <f t="shared" ref="J3:K3" si="5">D3+F3+H3</f>
        <v>1</v>
      </c>
      <c r="K3" s="3">
        <f t="shared" si="5"/>
        <v>189</v>
      </c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12</v>
      </c>
      <c r="B4" s="3" t="s">
        <v>15</v>
      </c>
      <c r="C4" s="3">
        <v>189.0</v>
      </c>
      <c r="D4" s="5"/>
      <c r="E4" s="3">
        <f t="shared" si="2"/>
        <v>0</v>
      </c>
      <c r="F4" s="5"/>
      <c r="G4" s="3">
        <f t="shared" si="3"/>
        <v>0</v>
      </c>
      <c r="H4" s="5"/>
      <c r="I4" s="3">
        <f t="shared" si="4"/>
        <v>0</v>
      </c>
      <c r="J4" s="3">
        <f t="shared" ref="J4:K4" si="6">D4+F4+H4</f>
        <v>0</v>
      </c>
      <c r="K4" s="3">
        <f t="shared" si="6"/>
        <v>0</v>
      </c>
      <c r="L4" s="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12</v>
      </c>
      <c r="B5" s="3" t="s">
        <v>16</v>
      </c>
      <c r="C5" s="3">
        <v>189.0</v>
      </c>
      <c r="D5" s="5"/>
      <c r="E5" s="3">
        <f t="shared" si="2"/>
        <v>0</v>
      </c>
      <c r="F5" s="5"/>
      <c r="G5" s="3">
        <f t="shared" si="3"/>
        <v>0</v>
      </c>
      <c r="H5" s="5"/>
      <c r="I5" s="3">
        <f t="shared" si="4"/>
        <v>0</v>
      </c>
      <c r="J5" s="3">
        <f t="shared" ref="J5:K5" si="7">D5+F5+H5</f>
        <v>0</v>
      </c>
      <c r="K5" s="3">
        <f t="shared" si="7"/>
        <v>0</v>
      </c>
      <c r="L5" s="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12</v>
      </c>
      <c r="B6" s="3" t="s">
        <v>17</v>
      </c>
      <c r="C6" s="3">
        <v>189.0</v>
      </c>
      <c r="D6" s="5"/>
      <c r="E6" s="3">
        <f t="shared" si="2"/>
        <v>0</v>
      </c>
      <c r="F6" s="5"/>
      <c r="G6" s="3">
        <f t="shared" si="3"/>
        <v>0</v>
      </c>
      <c r="H6" s="5"/>
      <c r="I6" s="3">
        <f t="shared" si="4"/>
        <v>0</v>
      </c>
      <c r="J6" s="3">
        <f t="shared" ref="J6:K6" si="8">D6+F6+H6</f>
        <v>0</v>
      </c>
      <c r="K6" s="3">
        <f t="shared" si="8"/>
        <v>0</v>
      </c>
      <c r="L6" s="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12</v>
      </c>
      <c r="B7" s="3" t="s">
        <v>18</v>
      </c>
      <c r="C7" s="3">
        <v>189.0</v>
      </c>
      <c r="D7" s="5"/>
      <c r="E7" s="3">
        <f t="shared" si="2"/>
        <v>0</v>
      </c>
      <c r="F7" s="5"/>
      <c r="G7" s="3">
        <f t="shared" si="3"/>
        <v>0</v>
      </c>
      <c r="H7" s="5"/>
      <c r="I7" s="3">
        <f t="shared" si="4"/>
        <v>0</v>
      </c>
      <c r="J7" s="3">
        <f t="shared" ref="J7:K7" si="9">D7+F7+H7</f>
        <v>0</v>
      </c>
      <c r="K7" s="3">
        <f t="shared" si="9"/>
        <v>0</v>
      </c>
      <c r="L7" s="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12</v>
      </c>
      <c r="B8" s="3" t="s">
        <v>19</v>
      </c>
      <c r="C8" s="3">
        <v>189.0</v>
      </c>
      <c r="D8" s="5"/>
      <c r="E8" s="3">
        <f t="shared" si="2"/>
        <v>0</v>
      </c>
      <c r="F8" s="5"/>
      <c r="G8" s="3">
        <f t="shared" si="3"/>
        <v>0</v>
      </c>
      <c r="H8" s="5"/>
      <c r="I8" s="3">
        <f t="shared" si="4"/>
        <v>0</v>
      </c>
      <c r="J8" s="3">
        <f t="shared" ref="J8:K8" si="10">D8+F8+H8</f>
        <v>0</v>
      </c>
      <c r="K8" s="3">
        <f t="shared" si="10"/>
        <v>0</v>
      </c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12</v>
      </c>
      <c r="B9" s="3" t="s">
        <v>20</v>
      </c>
      <c r="C9" s="3">
        <v>189.0</v>
      </c>
      <c r="D9" s="5">
        <v>1.0</v>
      </c>
      <c r="E9" s="3">
        <f t="shared" si="2"/>
        <v>189</v>
      </c>
      <c r="F9" s="5"/>
      <c r="G9" s="3">
        <f t="shared" si="3"/>
        <v>0</v>
      </c>
      <c r="H9" s="5"/>
      <c r="I9" s="3">
        <f t="shared" si="4"/>
        <v>0</v>
      </c>
      <c r="J9" s="3">
        <f t="shared" ref="J9:K9" si="11">D9+F9+H9</f>
        <v>1</v>
      </c>
      <c r="K9" s="3">
        <f t="shared" si="11"/>
        <v>189</v>
      </c>
      <c r="L9" s="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21</v>
      </c>
      <c r="B10" s="3" t="s">
        <v>20</v>
      </c>
      <c r="C10" s="3">
        <v>149.0</v>
      </c>
      <c r="D10" s="5"/>
      <c r="E10" s="3">
        <f t="shared" si="2"/>
        <v>0</v>
      </c>
      <c r="F10" s="5">
        <v>1.0</v>
      </c>
      <c r="G10" s="3">
        <f t="shared" si="3"/>
        <v>149</v>
      </c>
      <c r="H10" s="5"/>
      <c r="I10" s="3">
        <f t="shared" si="4"/>
        <v>0</v>
      </c>
      <c r="J10" s="3">
        <f t="shared" ref="J10:K10" si="12">D10+F10+H10</f>
        <v>1</v>
      </c>
      <c r="K10" s="3">
        <f t="shared" si="12"/>
        <v>149</v>
      </c>
      <c r="L10" s="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21</v>
      </c>
      <c r="B11" s="3" t="s">
        <v>22</v>
      </c>
      <c r="C11" s="3">
        <v>149.0</v>
      </c>
      <c r="D11" s="5"/>
      <c r="E11" s="3">
        <f t="shared" si="2"/>
        <v>0</v>
      </c>
      <c r="F11" s="5"/>
      <c r="G11" s="3">
        <f t="shared" si="3"/>
        <v>0</v>
      </c>
      <c r="H11" s="5"/>
      <c r="I11" s="3">
        <f t="shared" si="4"/>
        <v>0</v>
      </c>
      <c r="J11" s="3">
        <f t="shared" ref="J11:K11" si="13">D11+F11+H11</f>
        <v>0</v>
      </c>
      <c r="K11" s="3">
        <f t="shared" si="13"/>
        <v>0</v>
      </c>
      <c r="L11" s="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21</v>
      </c>
      <c r="B12" s="3" t="s">
        <v>23</v>
      </c>
      <c r="C12" s="3">
        <v>149.0</v>
      </c>
      <c r="D12" s="5"/>
      <c r="E12" s="3">
        <f t="shared" si="2"/>
        <v>0</v>
      </c>
      <c r="F12" s="5"/>
      <c r="G12" s="3">
        <f t="shared" si="3"/>
        <v>0</v>
      </c>
      <c r="H12" s="5"/>
      <c r="I12" s="3">
        <f t="shared" si="4"/>
        <v>0</v>
      </c>
      <c r="J12" s="3">
        <f t="shared" ref="J12:K12" si="14">D12+F12+H12</f>
        <v>0</v>
      </c>
      <c r="K12" s="3">
        <f t="shared" si="14"/>
        <v>0</v>
      </c>
      <c r="L12" s="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21</v>
      </c>
      <c r="B13" s="3" t="s">
        <v>14</v>
      </c>
      <c r="C13" s="3">
        <v>149.0</v>
      </c>
      <c r="D13" s="5"/>
      <c r="E13" s="3">
        <f t="shared" si="2"/>
        <v>0</v>
      </c>
      <c r="F13" s="5"/>
      <c r="G13" s="3">
        <f t="shared" si="3"/>
        <v>0</v>
      </c>
      <c r="H13" s="5"/>
      <c r="I13" s="3">
        <f t="shared" si="4"/>
        <v>0</v>
      </c>
      <c r="J13" s="3">
        <f t="shared" ref="J13:K13" si="15">D13+F13+H13</f>
        <v>0</v>
      </c>
      <c r="K13" s="3">
        <f t="shared" si="15"/>
        <v>0</v>
      </c>
      <c r="L13" s="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21</v>
      </c>
      <c r="B14" s="3" t="s">
        <v>24</v>
      </c>
      <c r="C14" s="3">
        <v>149.0</v>
      </c>
      <c r="D14" s="7"/>
      <c r="E14" s="3"/>
      <c r="F14" s="5"/>
      <c r="G14" s="3">
        <f t="shared" si="3"/>
        <v>0</v>
      </c>
      <c r="H14" s="5"/>
      <c r="I14" s="3">
        <f t="shared" si="4"/>
        <v>0</v>
      </c>
      <c r="J14" s="3">
        <f t="shared" ref="J14:K14" si="16">D14+F14+H14</f>
        <v>0</v>
      </c>
      <c r="K14" s="3">
        <f t="shared" si="16"/>
        <v>0</v>
      </c>
      <c r="L14" s="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21</v>
      </c>
      <c r="B15" s="3" t="s">
        <v>25</v>
      </c>
      <c r="C15" s="3">
        <v>149.0</v>
      </c>
      <c r="D15" s="5"/>
      <c r="E15" s="3">
        <f t="shared" ref="E15:E44" si="18">C15*D15</f>
        <v>0</v>
      </c>
      <c r="F15" s="5"/>
      <c r="G15" s="3">
        <f t="shared" si="3"/>
        <v>0</v>
      </c>
      <c r="H15" s="5"/>
      <c r="I15" s="3">
        <f t="shared" si="4"/>
        <v>0</v>
      </c>
      <c r="J15" s="3">
        <f t="shared" ref="J15:K15" si="17">D15+F15+H15</f>
        <v>0</v>
      </c>
      <c r="K15" s="3">
        <f t="shared" si="17"/>
        <v>0</v>
      </c>
      <c r="L15" s="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21</v>
      </c>
      <c r="B16" s="3" t="s">
        <v>26</v>
      </c>
      <c r="C16" s="3">
        <v>149.0</v>
      </c>
      <c r="D16" s="5"/>
      <c r="E16" s="3">
        <f t="shared" si="18"/>
        <v>0</v>
      </c>
      <c r="F16" s="5"/>
      <c r="G16" s="3">
        <f t="shared" si="3"/>
        <v>0</v>
      </c>
      <c r="H16" s="5"/>
      <c r="I16" s="3">
        <f t="shared" si="4"/>
        <v>0</v>
      </c>
      <c r="J16" s="3">
        <f t="shared" ref="J16:K16" si="19">D16+F16+H16</f>
        <v>0</v>
      </c>
      <c r="K16" s="3">
        <f t="shared" si="19"/>
        <v>0</v>
      </c>
      <c r="L16" s="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21</v>
      </c>
      <c r="B17" s="3" t="s">
        <v>27</v>
      </c>
      <c r="C17" s="3">
        <v>149.0</v>
      </c>
      <c r="D17" s="5"/>
      <c r="E17" s="3">
        <f t="shared" si="18"/>
        <v>0</v>
      </c>
      <c r="F17" s="5"/>
      <c r="G17" s="3">
        <f t="shared" si="3"/>
        <v>0</v>
      </c>
      <c r="H17" s="5"/>
      <c r="I17" s="3">
        <f t="shared" si="4"/>
        <v>0</v>
      </c>
      <c r="J17" s="3">
        <f t="shared" ref="J17:K17" si="20">D17+F17+H17</f>
        <v>0</v>
      </c>
      <c r="K17" s="3">
        <f t="shared" si="20"/>
        <v>0</v>
      </c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21</v>
      </c>
      <c r="B18" s="3" t="s">
        <v>28</v>
      </c>
      <c r="C18" s="3">
        <v>149.0</v>
      </c>
      <c r="D18" s="5"/>
      <c r="E18" s="3">
        <f t="shared" si="18"/>
        <v>0</v>
      </c>
      <c r="F18" s="5"/>
      <c r="G18" s="3">
        <f t="shared" si="3"/>
        <v>0</v>
      </c>
      <c r="H18" s="5"/>
      <c r="I18" s="3">
        <f t="shared" si="4"/>
        <v>0</v>
      </c>
      <c r="J18" s="3">
        <f t="shared" ref="J18:K18" si="21">D18+F18+H18</f>
        <v>0</v>
      </c>
      <c r="K18" s="3">
        <f t="shared" si="21"/>
        <v>0</v>
      </c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21</v>
      </c>
      <c r="B19" s="3" t="s">
        <v>29</v>
      </c>
      <c r="C19" s="3">
        <v>149.0</v>
      </c>
      <c r="D19" s="5"/>
      <c r="E19" s="3">
        <f t="shared" si="18"/>
        <v>0</v>
      </c>
      <c r="F19" s="5">
        <v>1.0</v>
      </c>
      <c r="G19" s="3">
        <f t="shared" si="3"/>
        <v>149</v>
      </c>
      <c r="H19" s="5"/>
      <c r="I19" s="3">
        <f t="shared" si="4"/>
        <v>0</v>
      </c>
      <c r="J19" s="3">
        <f t="shared" ref="J19:K19" si="22">D19+F19+H19</f>
        <v>1</v>
      </c>
      <c r="K19" s="3">
        <f t="shared" si="22"/>
        <v>149</v>
      </c>
      <c r="L19" s="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21</v>
      </c>
      <c r="B20" s="3" t="s">
        <v>30</v>
      </c>
      <c r="C20" s="3">
        <v>149.0</v>
      </c>
      <c r="D20" s="5"/>
      <c r="E20" s="3">
        <f t="shared" si="18"/>
        <v>0</v>
      </c>
      <c r="F20" s="5"/>
      <c r="G20" s="3">
        <f t="shared" si="3"/>
        <v>0</v>
      </c>
      <c r="H20" s="5"/>
      <c r="I20" s="3">
        <f t="shared" si="4"/>
        <v>0</v>
      </c>
      <c r="J20" s="3">
        <f t="shared" ref="J20:K20" si="23">D20+F20+H20</f>
        <v>0</v>
      </c>
      <c r="K20" s="3">
        <f t="shared" si="23"/>
        <v>0</v>
      </c>
      <c r="L20" s="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" t="s">
        <v>21</v>
      </c>
      <c r="B21" s="3" t="s">
        <v>31</v>
      </c>
      <c r="C21" s="3">
        <v>149.0</v>
      </c>
      <c r="D21" s="5"/>
      <c r="E21" s="3">
        <f t="shared" si="18"/>
        <v>0</v>
      </c>
      <c r="F21" s="5"/>
      <c r="G21" s="3">
        <f t="shared" si="3"/>
        <v>0</v>
      </c>
      <c r="H21" s="5"/>
      <c r="I21" s="3">
        <f t="shared" si="4"/>
        <v>0</v>
      </c>
      <c r="J21" s="3">
        <f t="shared" ref="J21:K21" si="24">D21+F21+H21</f>
        <v>0</v>
      </c>
      <c r="K21" s="3">
        <f t="shared" si="24"/>
        <v>0</v>
      </c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" t="s">
        <v>21</v>
      </c>
      <c r="B22" s="3" t="s">
        <v>32</v>
      </c>
      <c r="C22" s="3">
        <v>149.0</v>
      </c>
      <c r="D22" s="5"/>
      <c r="E22" s="3">
        <f t="shared" si="18"/>
        <v>0</v>
      </c>
      <c r="F22" s="5"/>
      <c r="G22" s="3">
        <f t="shared" si="3"/>
        <v>0</v>
      </c>
      <c r="H22" s="5"/>
      <c r="I22" s="3">
        <f t="shared" si="4"/>
        <v>0</v>
      </c>
      <c r="J22" s="3">
        <f t="shared" ref="J22:K22" si="25">D22+F22+H22</f>
        <v>0</v>
      </c>
      <c r="K22" s="3">
        <f t="shared" si="25"/>
        <v>0</v>
      </c>
      <c r="L22" s="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" t="s">
        <v>33</v>
      </c>
      <c r="B23" s="3" t="s">
        <v>34</v>
      </c>
      <c r="C23" s="3">
        <v>159.0</v>
      </c>
      <c r="D23" s="5">
        <v>1.0</v>
      </c>
      <c r="E23" s="3">
        <f t="shared" si="18"/>
        <v>159</v>
      </c>
      <c r="F23" s="5"/>
      <c r="G23" s="3">
        <f t="shared" si="3"/>
        <v>0</v>
      </c>
      <c r="H23" s="5"/>
      <c r="I23" s="3">
        <f t="shared" si="4"/>
        <v>0</v>
      </c>
      <c r="J23" s="3">
        <f t="shared" ref="J23:K23" si="26">D23+F23+H23</f>
        <v>1</v>
      </c>
      <c r="K23" s="3">
        <f t="shared" si="26"/>
        <v>159</v>
      </c>
      <c r="L23" s="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" t="s">
        <v>33</v>
      </c>
      <c r="B24" s="3" t="s">
        <v>35</v>
      </c>
      <c r="C24" s="3">
        <v>159.0</v>
      </c>
      <c r="D24" s="5">
        <v>2.0</v>
      </c>
      <c r="E24" s="3">
        <f t="shared" si="18"/>
        <v>318</v>
      </c>
      <c r="F24" s="5">
        <v>1.0</v>
      </c>
      <c r="G24" s="3">
        <f t="shared" si="3"/>
        <v>159</v>
      </c>
      <c r="H24" s="5"/>
      <c r="I24" s="3">
        <f t="shared" si="4"/>
        <v>0</v>
      </c>
      <c r="J24" s="3">
        <f t="shared" ref="J24:K24" si="27">D24+F24+H24</f>
        <v>3</v>
      </c>
      <c r="K24" s="3">
        <f t="shared" si="27"/>
        <v>477</v>
      </c>
      <c r="L24" s="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" t="s">
        <v>33</v>
      </c>
      <c r="B25" s="3" t="s">
        <v>36</v>
      </c>
      <c r="C25" s="3">
        <v>159.0</v>
      </c>
      <c r="D25" s="5"/>
      <c r="E25" s="3">
        <f t="shared" si="18"/>
        <v>0</v>
      </c>
      <c r="F25" s="5">
        <v>1.0</v>
      </c>
      <c r="G25" s="3">
        <f t="shared" si="3"/>
        <v>159</v>
      </c>
      <c r="H25" s="5"/>
      <c r="I25" s="3">
        <f t="shared" si="4"/>
        <v>0</v>
      </c>
      <c r="J25" s="3">
        <f t="shared" ref="J25:K25" si="28">D25+F25+H25</f>
        <v>1</v>
      </c>
      <c r="K25" s="3">
        <f t="shared" si="28"/>
        <v>159</v>
      </c>
      <c r="L25" s="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" t="s">
        <v>33</v>
      </c>
      <c r="B26" s="3" t="s">
        <v>37</v>
      </c>
      <c r="C26" s="3">
        <v>159.0</v>
      </c>
      <c r="D26" s="5"/>
      <c r="E26" s="3">
        <f t="shared" si="18"/>
        <v>0</v>
      </c>
      <c r="F26" s="5"/>
      <c r="G26" s="3">
        <f t="shared" si="3"/>
        <v>0</v>
      </c>
      <c r="H26" s="5"/>
      <c r="I26" s="3">
        <f t="shared" si="4"/>
        <v>0</v>
      </c>
      <c r="J26" s="3">
        <f t="shared" ref="J26:K26" si="29">D26+F26+H26</f>
        <v>0</v>
      </c>
      <c r="K26" s="3">
        <f t="shared" si="29"/>
        <v>0</v>
      </c>
      <c r="L26" s="6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" t="s">
        <v>38</v>
      </c>
      <c r="B27" s="3" t="s">
        <v>31</v>
      </c>
      <c r="C27" s="3">
        <v>99.0</v>
      </c>
      <c r="D27" s="5"/>
      <c r="E27" s="3">
        <f t="shared" si="18"/>
        <v>0</v>
      </c>
      <c r="F27" s="5"/>
      <c r="G27" s="3">
        <f t="shared" si="3"/>
        <v>0</v>
      </c>
      <c r="H27" s="5"/>
      <c r="I27" s="3">
        <f t="shared" si="4"/>
        <v>0</v>
      </c>
      <c r="J27" s="3">
        <f t="shared" ref="J27:K27" si="30">D27+F27+H27</f>
        <v>0</v>
      </c>
      <c r="K27" s="3">
        <f t="shared" si="30"/>
        <v>0</v>
      </c>
      <c r="L27" s="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" t="s">
        <v>38</v>
      </c>
      <c r="B28" s="3" t="s">
        <v>24</v>
      </c>
      <c r="C28" s="3">
        <v>99.0</v>
      </c>
      <c r="D28" s="5"/>
      <c r="E28" s="3">
        <f t="shared" si="18"/>
        <v>0</v>
      </c>
      <c r="F28" s="5"/>
      <c r="G28" s="3">
        <f t="shared" si="3"/>
        <v>0</v>
      </c>
      <c r="H28" s="5"/>
      <c r="I28" s="3">
        <f t="shared" si="4"/>
        <v>0</v>
      </c>
      <c r="J28" s="3">
        <f t="shared" ref="J28:K28" si="31">D28+F28+H28</f>
        <v>0</v>
      </c>
      <c r="K28" s="3">
        <f t="shared" si="31"/>
        <v>0</v>
      </c>
      <c r="L28" s="6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" t="s">
        <v>38</v>
      </c>
      <c r="B29" s="3" t="s">
        <v>39</v>
      </c>
      <c r="C29" s="3">
        <v>99.0</v>
      </c>
      <c r="D29" s="5"/>
      <c r="E29" s="3">
        <f t="shared" si="18"/>
        <v>0</v>
      </c>
      <c r="F29" s="5"/>
      <c r="G29" s="3">
        <f t="shared" si="3"/>
        <v>0</v>
      </c>
      <c r="H29" s="5"/>
      <c r="I29" s="3">
        <f t="shared" si="4"/>
        <v>0</v>
      </c>
      <c r="J29" s="3">
        <f t="shared" ref="J29:K29" si="32">D29+F29+H29</f>
        <v>0</v>
      </c>
      <c r="K29" s="3">
        <f t="shared" si="32"/>
        <v>0</v>
      </c>
      <c r="L29" s="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" t="s">
        <v>38</v>
      </c>
      <c r="B30" s="3" t="s">
        <v>40</v>
      </c>
      <c r="C30" s="3">
        <v>99.0</v>
      </c>
      <c r="D30" s="5">
        <v>1.0</v>
      </c>
      <c r="E30" s="3">
        <f t="shared" si="18"/>
        <v>99</v>
      </c>
      <c r="F30" s="5"/>
      <c r="G30" s="3">
        <f t="shared" si="3"/>
        <v>0</v>
      </c>
      <c r="H30" s="5"/>
      <c r="I30" s="3">
        <f t="shared" si="4"/>
        <v>0</v>
      </c>
      <c r="J30" s="3">
        <f t="shared" ref="J30:K30" si="33">D30+F30+H30</f>
        <v>1</v>
      </c>
      <c r="K30" s="3">
        <f t="shared" si="33"/>
        <v>99</v>
      </c>
      <c r="L30" s="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" t="s">
        <v>38</v>
      </c>
      <c r="B31" s="3" t="s">
        <v>41</v>
      </c>
      <c r="C31" s="3">
        <v>99.0</v>
      </c>
      <c r="D31" s="5"/>
      <c r="E31" s="3">
        <f t="shared" si="18"/>
        <v>0</v>
      </c>
      <c r="F31" s="5"/>
      <c r="G31" s="3">
        <f t="shared" si="3"/>
        <v>0</v>
      </c>
      <c r="H31" s="5"/>
      <c r="I31" s="3">
        <f t="shared" si="4"/>
        <v>0</v>
      </c>
      <c r="J31" s="3">
        <f t="shared" ref="J31:K31" si="34">D31+F31+H31</f>
        <v>0</v>
      </c>
      <c r="K31" s="3">
        <f t="shared" si="34"/>
        <v>0</v>
      </c>
      <c r="L31" s="6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" t="s">
        <v>42</v>
      </c>
      <c r="B32" s="3" t="s">
        <v>43</v>
      </c>
      <c r="C32" s="3">
        <v>149.0</v>
      </c>
      <c r="D32" s="5"/>
      <c r="E32" s="3">
        <f t="shared" si="18"/>
        <v>0</v>
      </c>
      <c r="F32" s="5"/>
      <c r="G32" s="3">
        <f t="shared" si="3"/>
        <v>0</v>
      </c>
      <c r="H32" s="5"/>
      <c r="I32" s="3">
        <f t="shared" si="4"/>
        <v>0</v>
      </c>
      <c r="J32" s="3">
        <f t="shared" ref="J32:K32" si="35">D32+F32+H32</f>
        <v>0</v>
      </c>
      <c r="K32" s="3">
        <f t="shared" si="35"/>
        <v>0</v>
      </c>
      <c r="L32" s="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" t="s">
        <v>42</v>
      </c>
      <c r="B33" s="3" t="s">
        <v>44</v>
      </c>
      <c r="C33" s="3">
        <v>149.0</v>
      </c>
      <c r="D33" s="5"/>
      <c r="E33" s="3">
        <f t="shared" si="18"/>
        <v>0</v>
      </c>
      <c r="F33" s="5"/>
      <c r="G33" s="3">
        <f t="shared" si="3"/>
        <v>0</v>
      </c>
      <c r="H33" s="5"/>
      <c r="I33" s="3">
        <f t="shared" si="4"/>
        <v>0</v>
      </c>
      <c r="J33" s="3">
        <f t="shared" ref="J33:K33" si="36">D33+F33+H33</f>
        <v>0</v>
      </c>
      <c r="K33" s="3">
        <f t="shared" si="36"/>
        <v>0</v>
      </c>
      <c r="L33" s="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" t="s">
        <v>42</v>
      </c>
      <c r="B34" s="3" t="s">
        <v>45</v>
      </c>
      <c r="C34" s="3">
        <v>149.0</v>
      </c>
      <c r="D34" s="5"/>
      <c r="E34" s="3">
        <f t="shared" si="18"/>
        <v>0</v>
      </c>
      <c r="F34" s="5"/>
      <c r="G34" s="3">
        <f t="shared" si="3"/>
        <v>0</v>
      </c>
      <c r="H34" s="5"/>
      <c r="I34" s="3">
        <f t="shared" si="4"/>
        <v>0</v>
      </c>
      <c r="J34" s="3">
        <f t="shared" ref="J34:K34" si="37">D34+F34+H34</f>
        <v>0</v>
      </c>
      <c r="K34" s="3">
        <f t="shared" si="37"/>
        <v>0</v>
      </c>
      <c r="L34" s="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" t="s">
        <v>42</v>
      </c>
      <c r="B35" s="3" t="s">
        <v>46</v>
      </c>
      <c r="C35" s="3">
        <v>149.0</v>
      </c>
      <c r="D35" s="5"/>
      <c r="E35" s="3">
        <f t="shared" si="18"/>
        <v>0</v>
      </c>
      <c r="F35" s="5"/>
      <c r="G35" s="3">
        <f t="shared" si="3"/>
        <v>0</v>
      </c>
      <c r="H35" s="5"/>
      <c r="I35" s="3">
        <f t="shared" si="4"/>
        <v>0</v>
      </c>
      <c r="J35" s="3">
        <f t="shared" ref="J35:K35" si="38">D35+F35+H35</f>
        <v>0</v>
      </c>
      <c r="K35" s="3">
        <f t="shared" si="38"/>
        <v>0</v>
      </c>
      <c r="L35" s="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" t="s">
        <v>47</v>
      </c>
      <c r="B36" s="3" t="s">
        <v>48</v>
      </c>
      <c r="C36" s="3">
        <v>25.0</v>
      </c>
      <c r="D36" s="5"/>
      <c r="E36" s="3">
        <f t="shared" si="18"/>
        <v>0</v>
      </c>
      <c r="F36" s="5"/>
      <c r="G36" s="3">
        <f t="shared" si="3"/>
        <v>0</v>
      </c>
      <c r="H36" s="5"/>
      <c r="I36" s="3">
        <f t="shared" si="4"/>
        <v>0</v>
      </c>
      <c r="J36" s="3">
        <f t="shared" ref="J36:K36" si="39">D36+F36+H36</f>
        <v>0</v>
      </c>
      <c r="K36" s="3">
        <f t="shared" si="39"/>
        <v>0</v>
      </c>
      <c r="L36" s="6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" t="s">
        <v>47</v>
      </c>
      <c r="B37" s="3" t="s">
        <v>49</v>
      </c>
      <c r="C37" s="3">
        <v>20.0</v>
      </c>
      <c r="D37" s="5">
        <v>2.0</v>
      </c>
      <c r="E37" s="3">
        <f t="shared" si="18"/>
        <v>40</v>
      </c>
      <c r="F37" s="5"/>
      <c r="G37" s="3">
        <f t="shared" si="3"/>
        <v>0</v>
      </c>
      <c r="H37" s="5"/>
      <c r="I37" s="3">
        <f t="shared" si="4"/>
        <v>0</v>
      </c>
      <c r="J37" s="3">
        <f t="shared" ref="J37:K37" si="40">D37+F37+H37</f>
        <v>2</v>
      </c>
      <c r="K37" s="3">
        <f t="shared" si="40"/>
        <v>40</v>
      </c>
      <c r="L37" s="6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" t="s">
        <v>47</v>
      </c>
      <c r="B38" s="3" t="s">
        <v>50</v>
      </c>
      <c r="C38" s="3">
        <v>20.0</v>
      </c>
      <c r="D38" s="5"/>
      <c r="E38" s="3">
        <f t="shared" si="18"/>
        <v>0</v>
      </c>
      <c r="F38" s="5"/>
      <c r="G38" s="3">
        <f t="shared" si="3"/>
        <v>0</v>
      </c>
      <c r="H38" s="5"/>
      <c r="I38" s="3">
        <f t="shared" si="4"/>
        <v>0</v>
      </c>
      <c r="J38" s="3">
        <f t="shared" ref="J38:K38" si="41">D38+F38+H38</f>
        <v>0</v>
      </c>
      <c r="K38" s="3">
        <f t="shared" si="41"/>
        <v>0</v>
      </c>
      <c r="L38" s="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" t="s">
        <v>47</v>
      </c>
      <c r="B39" s="3" t="s">
        <v>51</v>
      </c>
      <c r="C39" s="3">
        <v>20.0</v>
      </c>
      <c r="D39" s="5"/>
      <c r="E39" s="3">
        <f t="shared" si="18"/>
        <v>0</v>
      </c>
      <c r="F39" s="5"/>
      <c r="G39" s="3">
        <f t="shared" si="3"/>
        <v>0</v>
      </c>
      <c r="H39" s="5"/>
      <c r="I39" s="3">
        <f t="shared" si="4"/>
        <v>0</v>
      </c>
      <c r="J39" s="3">
        <f t="shared" ref="J39:K39" si="42">D39+F39+H39</f>
        <v>0</v>
      </c>
      <c r="K39" s="3">
        <f t="shared" si="42"/>
        <v>0</v>
      </c>
      <c r="L39" s="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" t="s">
        <v>47</v>
      </c>
      <c r="B40" s="3" t="s">
        <v>52</v>
      </c>
      <c r="C40" s="3">
        <v>25.0</v>
      </c>
      <c r="D40" s="5"/>
      <c r="E40" s="3">
        <f t="shared" si="18"/>
        <v>0</v>
      </c>
      <c r="F40" s="5"/>
      <c r="G40" s="3">
        <f t="shared" si="3"/>
        <v>0</v>
      </c>
      <c r="H40" s="5"/>
      <c r="I40" s="3">
        <f t="shared" si="4"/>
        <v>0</v>
      </c>
      <c r="J40" s="3">
        <f t="shared" ref="J40:K40" si="43">D40+F40+H40</f>
        <v>0</v>
      </c>
      <c r="K40" s="3">
        <f t="shared" si="43"/>
        <v>0</v>
      </c>
      <c r="L40" s="6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" t="s">
        <v>47</v>
      </c>
      <c r="B41" s="3" t="s">
        <v>53</v>
      </c>
      <c r="C41" s="3">
        <v>20.0</v>
      </c>
      <c r="D41" s="5"/>
      <c r="E41" s="3">
        <f t="shared" si="18"/>
        <v>0</v>
      </c>
      <c r="F41" s="5"/>
      <c r="G41" s="3">
        <f t="shared" si="3"/>
        <v>0</v>
      </c>
      <c r="H41" s="5"/>
      <c r="I41" s="3">
        <f t="shared" si="4"/>
        <v>0</v>
      </c>
      <c r="J41" s="3">
        <f t="shared" ref="J41:K41" si="44">D41+F41+H41</f>
        <v>0</v>
      </c>
      <c r="K41" s="3">
        <f t="shared" si="44"/>
        <v>0</v>
      </c>
      <c r="L41" s="6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" t="s">
        <v>54</v>
      </c>
      <c r="B42" s="3" t="s">
        <v>55</v>
      </c>
      <c r="C42" s="3">
        <v>149.0</v>
      </c>
      <c r="D42" s="5"/>
      <c r="E42" s="3">
        <f t="shared" si="18"/>
        <v>0</v>
      </c>
      <c r="F42" s="5"/>
      <c r="G42" s="3">
        <f t="shared" si="3"/>
        <v>0</v>
      </c>
      <c r="H42" s="5"/>
      <c r="I42" s="3">
        <f t="shared" si="4"/>
        <v>0</v>
      </c>
      <c r="J42" s="3">
        <f t="shared" ref="J42:K42" si="45">D42+F42+H42</f>
        <v>0</v>
      </c>
      <c r="K42" s="3">
        <f t="shared" si="45"/>
        <v>0</v>
      </c>
      <c r="L42" s="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" t="s">
        <v>54</v>
      </c>
      <c r="B43" s="3" t="s">
        <v>56</v>
      </c>
      <c r="C43" s="3">
        <v>149.0</v>
      </c>
      <c r="D43" s="5"/>
      <c r="E43" s="3">
        <f t="shared" si="18"/>
        <v>0</v>
      </c>
      <c r="F43" s="5"/>
      <c r="G43" s="3">
        <f t="shared" si="3"/>
        <v>0</v>
      </c>
      <c r="H43" s="5"/>
      <c r="I43" s="3">
        <f t="shared" si="4"/>
        <v>0</v>
      </c>
      <c r="J43" s="3">
        <f t="shared" ref="J43:K43" si="46">D43+F43+H43</f>
        <v>0</v>
      </c>
      <c r="K43" s="3">
        <f t="shared" si="46"/>
        <v>0</v>
      </c>
      <c r="L43" s="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" t="s">
        <v>54</v>
      </c>
      <c r="B44" s="3" t="s">
        <v>57</v>
      </c>
      <c r="C44" s="3">
        <v>149.0</v>
      </c>
      <c r="D44" s="5"/>
      <c r="E44" s="3">
        <f t="shared" si="18"/>
        <v>0</v>
      </c>
      <c r="F44" s="5"/>
      <c r="G44" s="3">
        <f t="shared" si="3"/>
        <v>0</v>
      </c>
      <c r="H44" s="5"/>
      <c r="I44" s="3">
        <f t="shared" si="4"/>
        <v>0</v>
      </c>
      <c r="J44" s="3">
        <f t="shared" ref="J44:K44" si="47">D44+F44+H44</f>
        <v>0</v>
      </c>
      <c r="K44" s="3">
        <f t="shared" si="47"/>
        <v>0</v>
      </c>
      <c r="L44" s="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8" t="s">
        <v>58</v>
      </c>
      <c r="B45" s="9"/>
      <c r="C45" s="9"/>
      <c r="D45" s="9"/>
      <c r="E45" s="8">
        <f>SUM(E2:E44)</f>
        <v>805</v>
      </c>
      <c r="F45" s="9"/>
      <c r="G45" s="8">
        <f>SUM(G2:G44)</f>
        <v>805</v>
      </c>
      <c r="H45" s="9"/>
      <c r="I45" s="8">
        <f t="shared" ref="I45:K45" si="48">SUM(I2:I44)</f>
        <v>0</v>
      </c>
      <c r="J45" s="8">
        <f t="shared" si="48"/>
        <v>12</v>
      </c>
      <c r="K45" s="8">
        <f t="shared" si="48"/>
        <v>1610</v>
      </c>
      <c r="L45" s="10">
        <v>46001.0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/>
      <c r="B46" s="4"/>
      <c r="C46" s="4"/>
      <c r="D46" s="4"/>
      <c r="E46" s="11"/>
      <c r="F46" s="4"/>
      <c r="G46" s="11"/>
      <c r="H46" s="4"/>
      <c r="I46" s="11"/>
      <c r="J46" s="11"/>
      <c r="K46" s="1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" t="s">
        <v>0</v>
      </c>
      <c r="B47" s="1" t="s">
        <v>1</v>
      </c>
      <c r="C47" s="1" t="s">
        <v>2</v>
      </c>
      <c r="D47" s="2" t="s">
        <v>3</v>
      </c>
      <c r="E47" s="1" t="s">
        <v>4</v>
      </c>
      <c r="F47" s="2" t="s">
        <v>5</v>
      </c>
      <c r="G47" s="1" t="s">
        <v>6</v>
      </c>
      <c r="H47" s="2" t="s">
        <v>7</v>
      </c>
      <c r="I47" s="1" t="s">
        <v>8</v>
      </c>
      <c r="J47" s="1" t="s">
        <v>9</v>
      </c>
      <c r="K47" s="1" t="s">
        <v>10</v>
      </c>
      <c r="L47" s="3" t="s">
        <v>11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" t="s">
        <v>12</v>
      </c>
      <c r="B48" s="3" t="s">
        <v>13</v>
      </c>
      <c r="C48" s="3">
        <v>189.0</v>
      </c>
      <c r="D48" s="5"/>
      <c r="E48" s="3">
        <f t="shared" ref="E48:E90" si="50">C48*D48</f>
        <v>0</v>
      </c>
      <c r="F48" s="5"/>
      <c r="G48" s="4">
        <f t="shared" ref="G48:G90" si="51">C48*F48</f>
        <v>0</v>
      </c>
      <c r="H48" s="5"/>
      <c r="I48" s="3">
        <f t="shared" ref="I48:I90" si="52">C48*H48</f>
        <v>0</v>
      </c>
      <c r="J48" s="3">
        <f t="shared" ref="J48:K48" si="49">D48+F48+H48</f>
        <v>0</v>
      </c>
      <c r="K48" s="3">
        <f t="shared" si="49"/>
        <v>0</v>
      </c>
      <c r="L48" s="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" t="s">
        <v>12</v>
      </c>
      <c r="B49" s="3" t="s">
        <v>14</v>
      </c>
      <c r="C49" s="3">
        <v>189.0</v>
      </c>
      <c r="D49" s="5"/>
      <c r="E49" s="3">
        <f t="shared" si="50"/>
        <v>0</v>
      </c>
      <c r="F49" s="5"/>
      <c r="G49" s="3">
        <f t="shared" si="51"/>
        <v>0</v>
      </c>
      <c r="H49" s="5"/>
      <c r="I49" s="3">
        <f t="shared" si="52"/>
        <v>0</v>
      </c>
      <c r="J49" s="3">
        <f t="shared" ref="J49:K49" si="53">D49+F49+H49</f>
        <v>0</v>
      </c>
      <c r="K49" s="3">
        <f t="shared" si="53"/>
        <v>0</v>
      </c>
      <c r="L49" s="6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" t="s">
        <v>12</v>
      </c>
      <c r="B50" s="3" t="s">
        <v>15</v>
      </c>
      <c r="C50" s="3">
        <v>189.0</v>
      </c>
      <c r="D50" s="5"/>
      <c r="E50" s="3">
        <f t="shared" si="50"/>
        <v>0</v>
      </c>
      <c r="F50" s="5"/>
      <c r="G50" s="3">
        <f t="shared" si="51"/>
        <v>0</v>
      </c>
      <c r="H50" s="5"/>
      <c r="I50" s="3">
        <f t="shared" si="52"/>
        <v>0</v>
      </c>
      <c r="J50" s="3">
        <f t="shared" ref="J50:K50" si="54">D50+F50+H50</f>
        <v>0</v>
      </c>
      <c r="K50" s="3">
        <f t="shared" si="54"/>
        <v>0</v>
      </c>
      <c r="L50" s="6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" t="s">
        <v>12</v>
      </c>
      <c r="B51" s="3" t="s">
        <v>16</v>
      </c>
      <c r="C51" s="3">
        <v>189.0</v>
      </c>
      <c r="D51" s="5"/>
      <c r="E51" s="3">
        <f t="shared" si="50"/>
        <v>0</v>
      </c>
      <c r="F51" s="5"/>
      <c r="G51" s="3">
        <f t="shared" si="51"/>
        <v>0</v>
      </c>
      <c r="H51" s="5"/>
      <c r="I51" s="3">
        <f t="shared" si="52"/>
        <v>0</v>
      </c>
      <c r="J51" s="3">
        <f t="shared" ref="J51:K51" si="55">D51+F51+H51</f>
        <v>0</v>
      </c>
      <c r="K51" s="3">
        <f t="shared" si="55"/>
        <v>0</v>
      </c>
      <c r="L51" s="6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" t="s">
        <v>12</v>
      </c>
      <c r="B52" s="3" t="s">
        <v>17</v>
      </c>
      <c r="C52" s="3">
        <v>189.0</v>
      </c>
      <c r="D52" s="5"/>
      <c r="E52" s="3">
        <f t="shared" si="50"/>
        <v>0</v>
      </c>
      <c r="F52" s="5"/>
      <c r="G52" s="3">
        <f t="shared" si="51"/>
        <v>0</v>
      </c>
      <c r="H52" s="5"/>
      <c r="I52" s="3">
        <f t="shared" si="52"/>
        <v>0</v>
      </c>
      <c r="J52" s="3">
        <f t="shared" ref="J52:K52" si="56">D52+F52+H52</f>
        <v>0</v>
      </c>
      <c r="K52" s="3">
        <f t="shared" si="56"/>
        <v>0</v>
      </c>
      <c r="L52" s="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" t="s">
        <v>12</v>
      </c>
      <c r="B53" s="3" t="s">
        <v>18</v>
      </c>
      <c r="C53" s="3">
        <v>189.0</v>
      </c>
      <c r="D53" s="5"/>
      <c r="E53" s="3">
        <f t="shared" si="50"/>
        <v>0</v>
      </c>
      <c r="F53" s="5"/>
      <c r="G53" s="3">
        <f t="shared" si="51"/>
        <v>0</v>
      </c>
      <c r="H53" s="5"/>
      <c r="I53" s="3">
        <f t="shared" si="52"/>
        <v>0</v>
      </c>
      <c r="J53" s="3">
        <f t="shared" ref="J53:K53" si="57">D53+F53+H53</f>
        <v>0</v>
      </c>
      <c r="K53" s="3">
        <f t="shared" si="57"/>
        <v>0</v>
      </c>
      <c r="L53" s="6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" t="s">
        <v>12</v>
      </c>
      <c r="B54" s="3" t="s">
        <v>19</v>
      </c>
      <c r="C54" s="3">
        <v>189.0</v>
      </c>
      <c r="D54" s="5"/>
      <c r="E54" s="3">
        <f t="shared" si="50"/>
        <v>0</v>
      </c>
      <c r="F54" s="5"/>
      <c r="G54" s="3">
        <f t="shared" si="51"/>
        <v>0</v>
      </c>
      <c r="H54" s="5"/>
      <c r="I54" s="3">
        <f t="shared" si="52"/>
        <v>0</v>
      </c>
      <c r="J54" s="3">
        <f t="shared" ref="J54:K54" si="58">D54+F54+H54</f>
        <v>0</v>
      </c>
      <c r="K54" s="3">
        <f t="shared" si="58"/>
        <v>0</v>
      </c>
      <c r="L54" s="6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" t="s">
        <v>12</v>
      </c>
      <c r="B55" s="3" t="s">
        <v>20</v>
      </c>
      <c r="C55" s="3">
        <v>189.0</v>
      </c>
      <c r="D55" s="5"/>
      <c r="E55" s="3">
        <f t="shared" si="50"/>
        <v>0</v>
      </c>
      <c r="F55" s="5"/>
      <c r="G55" s="3">
        <f t="shared" si="51"/>
        <v>0</v>
      </c>
      <c r="H55" s="5"/>
      <c r="I55" s="3">
        <f t="shared" si="52"/>
        <v>0</v>
      </c>
      <c r="J55" s="3">
        <f t="shared" ref="J55:K55" si="59">D55+F55+H55</f>
        <v>0</v>
      </c>
      <c r="K55" s="3">
        <f t="shared" si="59"/>
        <v>0</v>
      </c>
      <c r="L55" s="6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" t="s">
        <v>21</v>
      </c>
      <c r="B56" s="3" t="s">
        <v>20</v>
      </c>
      <c r="C56" s="3">
        <v>149.0</v>
      </c>
      <c r="D56" s="7">
        <v>1.0</v>
      </c>
      <c r="E56" s="3">
        <f t="shared" si="50"/>
        <v>149</v>
      </c>
      <c r="F56" s="5"/>
      <c r="G56" s="3">
        <f t="shared" si="51"/>
        <v>0</v>
      </c>
      <c r="H56" s="5"/>
      <c r="I56" s="3">
        <f t="shared" si="52"/>
        <v>0</v>
      </c>
      <c r="J56" s="3">
        <f t="shared" ref="J56:K56" si="60">D56+F56+H56</f>
        <v>1</v>
      </c>
      <c r="K56" s="3">
        <f t="shared" si="60"/>
        <v>149</v>
      </c>
      <c r="L56" s="6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" t="s">
        <v>21</v>
      </c>
      <c r="B57" s="3" t="s">
        <v>22</v>
      </c>
      <c r="C57" s="3">
        <v>149.0</v>
      </c>
      <c r="D57" s="7">
        <v>1.0</v>
      </c>
      <c r="E57" s="3">
        <f t="shared" si="50"/>
        <v>149</v>
      </c>
      <c r="F57" s="5"/>
      <c r="G57" s="3">
        <f t="shared" si="51"/>
        <v>0</v>
      </c>
      <c r="H57" s="5"/>
      <c r="I57" s="3">
        <f t="shared" si="52"/>
        <v>0</v>
      </c>
      <c r="J57" s="3">
        <f t="shared" ref="J57:K57" si="61">D57+F57+H57</f>
        <v>1</v>
      </c>
      <c r="K57" s="3">
        <f t="shared" si="61"/>
        <v>149</v>
      </c>
      <c r="L57" s="6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" t="s">
        <v>21</v>
      </c>
      <c r="B58" s="3" t="s">
        <v>23</v>
      </c>
      <c r="C58" s="3">
        <v>149.0</v>
      </c>
      <c r="D58" s="5"/>
      <c r="E58" s="3">
        <f t="shared" si="50"/>
        <v>0</v>
      </c>
      <c r="F58" s="5"/>
      <c r="G58" s="3">
        <f t="shared" si="51"/>
        <v>0</v>
      </c>
      <c r="H58" s="5"/>
      <c r="I58" s="3">
        <f t="shared" si="52"/>
        <v>0</v>
      </c>
      <c r="J58" s="3">
        <f t="shared" ref="J58:K58" si="62">D58+F58+H58</f>
        <v>0</v>
      </c>
      <c r="K58" s="3">
        <f t="shared" si="62"/>
        <v>0</v>
      </c>
      <c r="L58" s="6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" t="s">
        <v>21</v>
      </c>
      <c r="B59" s="3" t="s">
        <v>14</v>
      </c>
      <c r="C59" s="3">
        <v>149.0</v>
      </c>
      <c r="D59" s="7">
        <v>1.0</v>
      </c>
      <c r="E59" s="3">
        <f t="shared" si="50"/>
        <v>149</v>
      </c>
      <c r="F59" s="5"/>
      <c r="G59" s="3">
        <f t="shared" si="51"/>
        <v>0</v>
      </c>
      <c r="H59" s="5"/>
      <c r="I59" s="3">
        <f t="shared" si="52"/>
        <v>0</v>
      </c>
      <c r="J59" s="3">
        <f t="shared" ref="J59:K59" si="63">D59+F59+H59</f>
        <v>1</v>
      </c>
      <c r="K59" s="3">
        <f t="shared" si="63"/>
        <v>149</v>
      </c>
      <c r="L59" s="6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" t="s">
        <v>21</v>
      </c>
      <c r="B60" s="3" t="s">
        <v>24</v>
      </c>
      <c r="C60" s="3">
        <v>149.0</v>
      </c>
      <c r="D60" s="5"/>
      <c r="E60" s="3">
        <f t="shared" si="50"/>
        <v>0</v>
      </c>
      <c r="F60" s="5"/>
      <c r="G60" s="3">
        <f t="shared" si="51"/>
        <v>0</v>
      </c>
      <c r="H60" s="7">
        <v>1.0</v>
      </c>
      <c r="I60" s="3">
        <f t="shared" si="52"/>
        <v>149</v>
      </c>
      <c r="J60" s="3">
        <f t="shared" ref="J60:K60" si="64">D60+F60+H60</f>
        <v>1</v>
      </c>
      <c r="K60" s="3">
        <f t="shared" si="64"/>
        <v>149</v>
      </c>
      <c r="L60" s="6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" t="s">
        <v>21</v>
      </c>
      <c r="B61" s="3" t="s">
        <v>25</v>
      </c>
      <c r="C61" s="3">
        <v>149.0</v>
      </c>
      <c r="D61" s="7">
        <v>2.0</v>
      </c>
      <c r="E61" s="3">
        <f t="shared" si="50"/>
        <v>298</v>
      </c>
      <c r="F61" s="5"/>
      <c r="G61" s="3">
        <f t="shared" si="51"/>
        <v>0</v>
      </c>
      <c r="H61" s="5"/>
      <c r="I61" s="3">
        <f t="shared" si="52"/>
        <v>0</v>
      </c>
      <c r="J61" s="3">
        <f t="shared" ref="J61:K61" si="65">D61+F61+H61</f>
        <v>2</v>
      </c>
      <c r="K61" s="3">
        <f t="shared" si="65"/>
        <v>298</v>
      </c>
      <c r="L61" s="6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" t="s">
        <v>21</v>
      </c>
      <c r="B62" s="3" t="s">
        <v>26</v>
      </c>
      <c r="C62" s="3">
        <v>149.0</v>
      </c>
      <c r="D62" s="5"/>
      <c r="E62" s="3">
        <f t="shared" si="50"/>
        <v>0</v>
      </c>
      <c r="F62" s="5"/>
      <c r="G62" s="3">
        <f t="shared" si="51"/>
        <v>0</v>
      </c>
      <c r="H62" s="5"/>
      <c r="I62" s="3">
        <f t="shared" si="52"/>
        <v>0</v>
      </c>
      <c r="J62" s="3">
        <f t="shared" ref="J62:K62" si="66">D62+F62+H62</f>
        <v>0</v>
      </c>
      <c r="K62" s="3">
        <f t="shared" si="66"/>
        <v>0</v>
      </c>
      <c r="L62" s="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" t="s">
        <v>21</v>
      </c>
      <c r="B63" s="3" t="s">
        <v>27</v>
      </c>
      <c r="C63" s="3">
        <v>149.0</v>
      </c>
      <c r="D63" s="5"/>
      <c r="E63" s="3">
        <f t="shared" si="50"/>
        <v>0</v>
      </c>
      <c r="F63" s="5"/>
      <c r="G63" s="3">
        <f t="shared" si="51"/>
        <v>0</v>
      </c>
      <c r="H63" s="5"/>
      <c r="I63" s="3">
        <f t="shared" si="52"/>
        <v>0</v>
      </c>
      <c r="J63" s="3">
        <f t="shared" ref="J63:K63" si="67">D63+F63+H63</f>
        <v>0</v>
      </c>
      <c r="K63" s="3">
        <f t="shared" si="67"/>
        <v>0</v>
      </c>
      <c r="L63" s="6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" t="s">
        <v>21</v>
      </c>
      <c r="B64" s="3" t="s">
        <v>28</v>
      </c>
      <c r="C64" s="3">
        <v>149.0</v>
      </c>
      <c r="D64" s="5"/>
      <c r="E64" s="3">
        <f t="shared" si="50"/>
        <v>0</v>
      </c>
      <c r="F64" s="5"/>
      <c r="G64" s="3">
        <f t="shared" si="51"/>
        <v>0</v>
      </c>
      <c r="H64" s="5"/>
      <c r="I64" s="3">
        <f t="shared" si="52"/>
        <v>0</v>
      </c>
      <c r="J64" s="3">
        <f t="shared" ref="J64:K64" si="68">D64+F64+H64</f>
        <v>0</v>
      </c>
      <c r="K64" s="3">
        <f t="shared" si="68"/>
        <v>0</v>
      </c>
      <c r="L64" s="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" t="s">
        <v>21</v>
      </c>
      <c r="B65" s="3" t="s">
        <v>29</v>
      </c>
      <c r="C65" s="3">
        <v>149.0</v>
      </c>
      <c r="D65" s="5"/>
      <c r="E65" s="3">
        <f t="shared" si="50"/>
        <v>0</v>
      </c>
      <c r="F65" s="5"/>
      <c r="G65" s="3">
        <f t="shared" si="51"/>
        <v>0</v>
      </c>
      <c r="H65" s="5"/>
      <c r="I65" s="3">
        <f t="shared" si="52"/>
        <v>0</v>
      </c>
      <c r="J65" s="3">
        <f t="shared" ref="J65:K65" si="69">D65+F65+H65</f>
        <v>0</v>
      </c>
      <c r="K65" s="3">
        <f t="shared" si="69"/>
        <v>0</v>
      </c>
      <c r="L65" s="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" t="s">
        <v>21</v>
      </c>
      <c r="B66" s="3" t="s">
        <v>30</v>
      </c>
      <c r="C66" s="3">
        <v>149.0</v>
      </c>
      <c r="D66" s="5"/>
      <c r="E66" s="3">
        <f t="shared" si="50"/>
        <v>0</v>
      </c>
      <c r="F66" s="5"/>
      <c r="G66" s="3">
        <f t="shared" si="51"/>
        <v>0</v>
      </c>
      <c r="H66" s="7">
        <v>1.0</v>
      </c>
      <c r="I66" s="3">
        <f t="shared" si="52"/>
        <v>149</v>
      </c>
      <c r="J66" s="3">
        <f t="shared" ref="J66:K66" si="70">D66+F66+H66</f>
        <v>1</v>
      </c>
      <c r="K66" s="3">
        <f t="shared" si="70"/>
        <v>149</v>
      </c>
      <c r="L66" s="6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" t="s">
        <v>21</v>
      </c>
      <c r="B67" s="3" t="s">
        <v>31</v>
      </c>
      <c r="C67" s="3">
        <v>149.0</v>
      </c>
      <c r="D67" s="5"/>
      <c r="E67" s="3">
        <f t="shared" si="50"/>
        <v>0</v>
      </c>
      <c r="F67" s="5"/>
      <c r="G67" s="3">
        <f t="shared" si="51"/>
        <v>0</v>
      </c>
      <c r="H67" s="5"/>
      <c r="I67" s="3">
        <f t="shared" si="52"/>
        <v>0</v>
      </c>
      <c r="J67" s="3">
        <f t="shared" ref="J67:K67" si="71">D67+F67+H67</f>
        <v>0</v>
      </c>
      <c r="K67" s="3">
        <f t="shared" si="71"/>
        <v>0</v>
      </c>
      <c r="L67" s="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" t="s">
        <v>21</v>
      </c>
      <c r="B68" s="3" t="s">
        <v>32</v>
      </c>
      <c r="C68" s="3">
        <v>149.0</v>
      </c>
      <c r="D68" s="5"/>
      <c r="E68" s="3">
        <f t="shared" si="50"/>
        <v>0</v>
      </c>
      <c r="F68" s="5"/>
      <c r="G68" s="3">
        <f t="shared" si="51"/>
        <v>0</v>
      </c>
      <c r="H68" s="5"/>
      <c r="I68" s="3">
        <f t="shared" si="52"/>
        <v>0</v>
      </c>
      <c r="J68" s="3">
        <f t="shared" ref="J68:K68" si="72">D68+F68+H68</f>
        <v>0</v>
      </c>
      <c r="K68" s="3">
        <f t="shared" si="72"/>
        <v>0</v>
      </c>
      <c r="L68" s="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" t="s">
        <v>33</v>
      </c>
      <c r="B69" s="3" t="s">
        <v>34</v>
      </c>
      <c r="C69" s="3">
        <v>159.0</v>
      </c>
      <c r="D69" s="5"/>
      <c r="E69" s="3">
        <f t="shared" si="50"/>
        <v>0</v>
      </c>
      <c r="F69" s="5"/>
      <c r="G69" s="3">
        <f t="shared" si="51"/>
        <v>0</v>
      </c>
      <c r="H69" s="5"/>
      <c r="I69" s="3">
        <f t="shared" si="52"/>
        <v>0</v>
      </c>
      <c r="J69" s="3">
        <f t="shared" ref="J69:K69" si="73">D69+F69+H69</f>
        <v>0</v>
      </c>
      <c r="K69" s="3">
        <f t="shared" si="73"/>
        <v>0</v>
      </c>
      <c r="L69" s="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" t="s">
        <v>33</v>
      </c>
      <c r="B70" s="3" t="s">
        <v>35</v>
      </c>
      <c r="C70" s="3">
        <v>159.0</v>
      </c>
      <c r="D70" s="7"/>
      <c r="E70" s="3">
        <f t="shared" si="50"/>
        <v>0</v>
      </c>
      <c r="F70" s="5"/>
      <c r="G70" s="3">
        <f t="shared" si="51"/>
        <v>0</v>
      </c>
      <c r="H70" s="5"/>
      <c r="I70" s="3">
        <f t="shared" si="52"/>
        <v>0</v>
      </c>
      <c r="J70" s="3">
        <f t="shared" ref="J70:K70" si="74">D70+F70+H70</f>
        <v>0</v>
      </c>
      <c r="K70" s="3">
        <f t="shared" si="74"/>
        <v>0</v>
      </c>
      <c r="L70" s="6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" t="s">
        <v>33</v>
      </c>
      <c r="B71" s="3" t="s">
        <v>36</v>
      </c>
      <c r="C71" s="3">
        <v>159.0</v>
      </c>
      <c r="D71" s="5"/>
      <c r="E71" s="3">
        <f t="shared" si="50"/>
        <v>0</v>
      </c>
      <c r="F71" s="5"/>
      <c r="G71" s="3">
        <f t="shared" si="51"/>
        <v>0</v>
      </c>
      <c r="H71" s="5"/>
      <c r="I71" s="3">
        <f t="shared" si="52"/>
        <v>0</v>
      </c>
      <c r="J71" s="3">
        <f t="shared" ref="J71:K71" si="75">D71+F71+H71</f>
        <v>0</v>
      </c>
      <c r="K71" s="3">
        <f t="shared" si="75"/>
        <v>0</v>
      </c>
      <c r="L71" s="6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" t="s">
        <v>33</v>
      </c>
      <c r="B72" s="3" t="s">
        <v>37</v>
      </c>
      <c r="C72" s="3">
        <v>159.0</v>
      </c>
      <c r="D72" s="5"/>
      <c r="E72" s="3">
        <f t="shared" si="50"/>
        <v>0</v>
      </c>
      <c r="F72" s="5"/>
      <c r="G72" s="3">
        <f t="shared" si="51"/>
        <v>0</v>
      </c>
      <c r="H72" s="5"/>
      <c r="I72" s="3">
        <f t="shared" si="52"/>
        <v>0</v>
      </c>
      <c r="J72" s="3">
        <f t="shared" ref="J72:K72" si="76">D72+F72+H72</f>
        <v>0</v>
      </c>
      <c r="K72" s="3">
        <f t="shared" si="76"/>
        <v>0</v>
      </c>
      <c r="L72" s="6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" t="s">
        <v>38</v>
      </c>
      <c r="B73" s="3" t="s">
        <v>31</v>
      </c>
      <c r="C73" s="3">
        <v>99.0</v>
      </c>
      <c r="D73" s="5"/>
      <c r="E73" s="3">
        <f t="shared" si="50"/>
        <v>0</v>
      </c>
      <c r="F73" s="5"/>
      <c r="G73" s="3">
        <f t="shared" si="51"/>
        <v>0</v>
      </c>
      <c r="H73" s="7">
        <v>1.0</v>
      </c>
      <c r="I73" s="3">
        <f t="shared" si="52"/>
        <v>99</v>
      </c>
      <c r="J73" s="3">
        <f t="shared" ref="J73:K73" si="77">D73+F73+H73</f>
        <v>1</v>
      </c>
      <c r="K73" s="3">
        <f t="shared" si="77"/>
        <v>99</v>
      </c>
      <c r="L73" s="6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" t="s">
        <v>38</v>
      </c>
      <c r="B74" s="3" t="s">
        <v>24</v>
      </c>
      <c r="C74" s="3">
        <v>99.0</v>
      </c>
      <c r="D74" s="7">
        <v>1.0</v>
      </c>
      <c r="E74" s="3">
        <f t="shared" si="50"/>
        <v>99</v>
      </c>
      <c r="F74" s="5"/>
      <c r="G74" s="3">
        <f t="shared" si="51"/>
        <v>0</v>
      </c>
      <c r="H74" s="5"/>
      <c r="I74" s="3">
        <f t="shared" si="52"/>
        <v>0</v>
      </c>
      <c r="J74" s="3">
        <f t="shared" ref="J74:K74" si="78">D74+F74+H74</f>
        <v>1</v>
      </c>
      <c r="K74" s="3">
        <f t="shared" si="78"/>
        <v>99</v>
      </c>
      <c r="L74" s="6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" t="s">
        <v>38</v>
      </c>
      <c r="B75" s="3" t="s">
        <v>39</v>
      </c>
      <c r="C75" s="3">
        <v>99.0</v>
      </c>
      <c r="D75" s="5"/>
      <c r="E75" s="3">
        <f t="shared" si="50"/>
        <v>0</v>
      </c>
      <c r="F75" s="5"/>
      <c r="G75" s="3">
        <f t="shared" si="51"/>
        <v>0</v>
      </c>
      <c r="H75" s="5"/>
      <c r="I75" s="3">
        <f t="shared" si="52"/>
        <v>0</v>
      </c>
      <c r="J75" s="3">
        <f t="shared" ref="J75:K75" si="79">D75+F75+H75</f>
        <v>0</v>
      </c>
      <c r="K75" s="3">
        <f t="shared" si="79"/>
        <v>0</v>
      </c>
      <c r="L75" s="6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" t="s">
        <v>38</v>
      </c>
      <c r="B76" s="3" t="s">
        <v>40</v>
      </c>
      <c r="C76" s="3">
        <v>99.0</v>
      </c>
      <c r="D76" s="5"/>
      <c r="E76" s="3">
        <f t="shared" si="50"/>
        <v>0</v>
      </c>
      <c r="F76" s="5"/>
      <c r="G76" s="3">
        <f t="shared" si="51"/>
        <v>0</v>
      </c>
      <c r="H76" s="5"/>
      <c r="I76" s="3">
        <f t="shared" si="52"/>
        <v>0</v>
      </c>
      <c r="J76" s="3">
        <f t="shared" ref="J76:K76" si="80">D76+F76+H76</f>
        <v>0</v>
      </c>
      <c r="K76" s="3">
        <f t="shared" si="80"/>
        <v>0</v>
      </c>
      <c r="L76" s="6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" t="s">
        <v>38</v>
      </c>
      <c r="B77" s="3" t="s">
        <v>41</v>
      </c>
      <c r="C77" s="3">
        <v>99.0</v>
      </c>
      <c r="D77" s="5"/>
      <c r="E77" s="3">
        <f t="shared" si="50"/>
        <v>0</v>
      </c>
      <c r="F77" s="5"/>
      <c r="G77" s="3">
        <f t="shared" si="51"/>
        <v>0</v>
      </c>
      <c r="H77" s="5"/>
      <c r="I77" s="3">
        <f t="shared" si="52"/>
        <v>0</v>
      </c>
      <c r="J77" s="3">
        <f t="shared" ref="J77:K77" si="81">D77+F77+H77</f>
        <v>0</v>
      </c>
      <c r="K77" s="3">
        <f t="shared" si="81"/>
        <v>0</v>
      </c>
      <c r="L77" s="6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" t="s">
        <v>42</v>
      </c>
      <c r="B78" s="3" t="s">
        <v>43</v>
      </c>
      <c r="C78" s="3">
        <v>149.0</v>
      </c>
      <c r="D78" s="5"/>
      <c r="E78" s="3">
        <f t="shared" si="50"/>
        <v>0</v>
      </c>
      <c r="F78" s="5"/>
      <c r="G78" s="3">
        <f t="shared" si="51"/>
        <v>0</v>
      </c>
      <c r="H78" s="5"/>
      <c r="I78" s="3">
        <f t="shared" si="52"/>
        <v>0</v>
      </c>
      <c r="J78" s="3">
        <f t="shared" ref="J78:K78" si="82">D78+F78+H78</f>
        <v>0</v>
      </c>
      <c r="K78" s="3">
        <f t="shared" si="82"/>
        <v>0</v>
      </c>
      <c r="L78" s="6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" t="s">
        <v>42</v>
      </c>
      <c r="B79" s="3" t="s">
        <v>44</v>
      </c>
      <c r="C79" s="3">
        <v>149.0</v>
      </c>
      <c r="D79" s="5"/>
      <c r="E79" s="3">
        <f t="shared" si="50"/>
        <v>0</v>
      </c>
      <c r="F79" s="5"/>
      <c r="G79" s="3">
        <f t="shared" si="51"/>
        <v>0</v>
      </c>
      <c r="H79" s="5"/>
      <c r="I79" s="3">
        <f t="shared" si="52"/>
        <v>0</v>
      </c>
      <c r="J79" s="3">
        <f t="shared" ref="J79:K79" si="83">D79+F79+H79</f>
        <v>0</v>
      </c>
      <c r="K79" s="3">
        <f t="shared" si="83"/>
        <v>0</v>
      </c>
      <c r="L79" s="6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" t="s">
        <v>42</v>
      </c>
      <c r="B80" s="3" t="s">
        <v>45</v>
      </c>
      <c r="C80" s="3">
        <v>149.0</v>
      </c>
      <c r="D80" s="5"/>
      <c r="E80" s="3">
        <f t="shared" si="50"/>
        <v>0</v>
      </c>
      <c r="F80" s="5"/>
      <c r="G80" s="3">
        <f t="shared" si="51"/>
        <v>0</v>
      </c>
      <c r="H80" s="5"/>
      <c r="I80" s="3">
        <f t="shared" si="52"/>
        <v>0</v>
      </c>
      <c r="J80" s="3">
        <f t="shared" ref="J80:K80" si="84">D80+F80+H80</f>
        <v>0</v>
      </c>
      <c r="K80" s="3">
        <f t="shared" si="84"/>
        <v>0</v>
      </c>
      <c r="L80" s="6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" t="s">
        <v>42</v>
      </c>
      <c r="B81" s="3" t="s">
        <v>46</v>
      </c>
      <c r="C81" s="3">
        <v>149.0</v>
      </c>
      <c r="D81" s="5"/>
      <c r="E81" s="3">
        <f t="shared" si="50"/>
        <v>0</v>
      </c>
      <c r="F81" s="5"/>
      <c r="G81" s="3">
        <f t="shared" si="51"/>
        <v>0</v>
      </c>
      <c r="H81" s="5"/>
      <c r="I81" s="3">
        <f t="shared" si="52"/>
        <v>0</v>
      </c>
      <c r="J81" s="3">
        <f t="shared" ref="J81:K81" si="85">D81+F81+H81</f>
        <v>0</v>
      </c>
      <c r="K81" s="3">
        <f t="shared" si="85"/>
        <v>0</v>
      </c>
      <c r="L81" s="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" t="s">
        <v>47</v>
      </c>
      <c r="B82" s="3" t="s">
        <v>48</v>
      </c>
      <c r="C82" s="3">
        <v>25.0</v>
      </c>
      <c r="D82" s="5"/>
      <c r="E82" s="3">
        <f t="shared" si="50"/>
        <v>0</v>
      </c>
      <c r="F82" s="5"/>
      <c r="G82" s="3">
        <f t="shared" si="51"/>
        <v>0</v>
      </c>
      <c r="H82" s="5"/>
      <c r="I82" s="3">
        <f t="shared" si="52"/>
        <v>0</v>
      </c>
      <c r="J82" s="3">
        <f t="shared" ref="J82:K82" si="86">D82+F82+H82</f>
        <v>0</v>
      </c>
      <c r="K82" s="3">
        <f t="shared" si="86"/>
        <v>0</v>
      </c>
      <c r="L82" s="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" t="s">
        <v>47</v>
      </c>
      <c r="B83" s="3" t="s">
        <v>49</v>
      </c>
      <c r="C83" s="3">
        <v>20.0</v>
      </c>
      <c r="D83" s="7">
        <v>4.0</v>
      </c>
      <c r="E83" s="3">
        <f t="shared" si="50"/>
        <v>80</v>
      </c>
      <c r="F83" s="5"/>
      <c r="G83" s="3">
        <f t="shared" si="51"/>
        <v>0</v>
      </c>
      <c r="H83" s="5"/>
      <c r="I83" s="3">
        <f t="shared" si="52"/>
        <v>0</v>
      </c>
      <c r="J83" s="3">
        <f t="shared" ref="J83:K83" si="87">D83+F83+H83</f>
        <v>4</v>
      </c>
      <c r="K83" s="3">
        <f t="shared" si="87"/>
        <v>80</v>
      </c>
      <c r="L83" s="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" t="s">
        <v>47</v>
      </c>
      <c r="B84" s="3" t="s">
        <v>50</v>
      </c>
      <c r="C84" s="3">
        <v>20.0</v>
      </c>
      <c r="D84" s="5"/>
      <c r="E84" s="3">
        <f t="shared" si="50"/>
        <v>0</v>
      </c>
      <c r="F84" s="5"/>
      <c r="G84" s="3">
        <f t="shared" si="51"/>
        <v>0</v>
      </c>
      <c r="H84" s="5"/>
      <c r="I84" s="3">
        <f t="shared" si="52"/>
        <v>0</v>
      </c>
      <c r="J84" s="3">
        <f t="shared" ref="J84:K84" si="88">D84+F84+H84</f>
        <v>0</v>
      </c>
      <c r="K84" s="3">
        <f t="shared" si="88"/>
        <v>0</v>
      </c>
      <c r="L84" s="6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" t="s">
        <v>47</v>
      </c>
      <c r="B85" s="3" t="s">
        <v>51</v>
      </c>
      <c r="C85" s="3">
        <v>20.0</v>
      </c>
      <c r="D85" s="5"/>
      <c r="E85" s="3">
        <f t="shared" si="50"/>
        <v>0</v>
      </c>
      <c r="F85" s="5"/>
      <c r="G85" s="3">
        <f t="shared" si="51"/>
        <v>0</v>
      </c>
      <c r="H85" s="7">
        <v>4.0</v>
      </c>
      <c r="I85" s="3">
        <f t="shared" si="52"/>
        <v>80</v>
      </c>
      <c r="J85" s="3">
        <f t="shared" ref="J85:K85" si="89">D85+F85+H85</f>
        <v>4</v>
      </c>
      <c r="K85" s="3">
        <f t="shared" si="89"/>
        <v>80</v>
      </c>
      <c r="L85" s="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" t="s">
        <v>47</v>
      </c>
      <c r="B86" s="3" t="s">
        <v>52</v>
      </c>
      <c r="C86" s="3">
        <v>25.0</v>
      </c>
      <c r="D86" s="5"/>
      <c r="E86" s="3">
        <f t="shared" si="50"/>
        <v>0</v>
      </c>
      <c r="F86" s="5"/>
      <c r="G86" s="3">
        <f t="shared" si="51"/>
        <v>0</v>
      </c>
      <c r="H86" s="5"/>
      <c r="I86" s="3">
        <f t="shared" si="52"/>
        <v>0</v>
      </c>
      <c r="J86" s="3">
        <f t="shared" ref="J86:K86" si="90">D86+F86+H86</f>
        <v>0</v>
      </c>
      <c r="K86" s="3">
        <f t="shared" si="90"/>
        <v>0</v>
      </c>
      <c r="L86" s="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" t="s">
        <v>47</v>
      </c>
      <c r="B87" s="3" t="s">
        <v>53</v>
      </c>
      <c r="C87" s="3">
        <v>20.0</v>
      </c>
      <c r="D87" s="7">
        <v>1.0</v>
      </c>
      <c r="E87" s="3">
        <f t="shared" si="50"/>
        <v>20</v>
      </c>
      <c r="F87" s="5"/>
      <c r="G87" s="3">
        <f t="shared" si="51"/>
        <v>0</v>
      </c>
      <c r="H87" s="5"/>
      <c r="I87" s="3">
        <f t="shared" si="52"/>
        <v>0</v>
      </c>
      <c r="J87" s="3">
        <f t="shared" ref="J87:K87" si="91">D87+F87+H87</f>
        <v>1</v>
      </c>
      <c r="K87" s="3">
        <f t="shared" si="91"/>
        <v>20</v>
      </c>
      <c r="L87" s="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" t="s">
        <v>54</v>
      </c>
      <c r="B88" s="3" t="s">
        <v>55</v>
      </c>
      <c r="C88" s="3">
        <v>149.0</v>
      </c>
      <c r="D88" s="5"/>
      <c r="E88" s="3">
        <f t="shared" si="50"/>
        <v>0</v>
      </c>
      <c r="F88" s="5"/>
      <c r="G88" s="3">
        <f t="shared" si="51"/>
        <v>0</v>
      </c>
      <c r="H88" s="5"/>
      <c r="I88" s="3">
        <f t="shared" si="52"/>
        <v>0</v>
      </c>
      <c r="J88" s="3">
        <f t="shared" ref="J88:K88" si="92">D88+F88+H88</f>
        <v>0</v>
      </c>
      <c r="K88" s="3">
        <f t="shared" si="92"/>
        <v>0</v>
      </c>
      <c r="L88" s="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" t="s">
        <v>54</v>
      </c>
      <c r="B89" s="3" t="s">
        <v>56</v>
      </c>
      <c r="C89" s="3">
        <v>149.0</v>
      </c>
      <c r="D89" s="5"/>
      <c r="E89" s="3">
        <f t="shared" si="50"/>
        <v>0</v>
      </c>
      <c r="F89" s="5"/>
      <c r="G89" s="3">
        <f t="shared" si="51"/>
        <v>0</v>
      </c>
      <c r="H89" s="5"/>
      <c r="I89" s="3">
        <f t="shared" si="52"/>
        <v>0</v>
      </c>
      <c r="J89" s="3">
        <f t="shared" ref="J89:K89" si="93">D89+F89+H89</f>
        <v>0</v>
      </c>
      <c r="K89" s="3">
        <f t="shared" si="93"/>
        <v>0</v>
      </c>
      <c r="L89" s="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" t="s">
        <v>54</v>
      </c>
      <c r="B90" s="3" t="s">
        <v>57</v>
      </c>
      <c r="C90" s="3">
        <v>149.0</v>
      </c>
      <c r="D90" s="5"/>
      <c r="E90" s="3">
        <f t="shared" si="50"/>
        <v>0</v>
      </c>
      <c r="F90" s="5"/>
      <c r="G90" s="3">
        <f t="shared" si="51"/>
        <v>0</v>
      </c>
      <c r="H90" s="5"/>
      <c r="I90" s="3">
        <f t="shared" si="52"/>
        <v>0</v>
      </c>
      <c r="J90" s="3">
        <f t="shared" ref="J90:K90" si="94">D90+F90+H90</f>
        <v>0</v>
      </c>
      <c r="K90" s="3">
        <f t="shared" si="94"/>
        <v>0</v>
      </c>
      <c r="L90" s="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8" t="s">
        <v>58</v>
      </c>
      <c r="B91" s="9"/>
      <c r="C91" s="9"/>
      <c r="D91" s="9"/>
      <c r="E91" s="8">
        <f>SUM(E48:E90)</f>
        <v>944</v>
      </c>
      <c r="F91" s="9"/>
      <c r="G91" s="8">
        <f>SUM(G48:G90)</f>
        <v>0</v>
      </c>
      <c r="H91" s="9"/>
      <c r="I91" s="8">
        <f t="shared" ref="I91:K91" si="95">SUM(I48:I90)</f>
        <v>477</v>
      </c>
      <c r="J91" s="8">
        <f t="shared" si="95"/>
        <v>18</v>
      </c>
      <c r="K91" s="8">
        <f t="shared" si="95"/>
        <v>1421</v>
      </c>
      <c r="L91" s="10">
        <v>46002.0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" t="s">
        <v>0</v>
      </c>
      <c r="B93" s="1" t="s">
        <v>1</v>
      </c>
      <c r="C93" s="1" t="s">
        <v>2</v>
      </c>
      <c r="D93" s="2" t="s">
        <v>3</v>
      </c>
      <c r="E93" s="1" t="s">
        <v>4</v>
      </c>
      <c r="F93" s="2" t="s">
        <v>5</v>
      </c>
      <c r="G93" s="1" t="s">
        <v>6</v>
      </c>
      <c r="H93" s="2" t="s">
        <v>7</v>
      </c>
      <c r="I93" s="1" t="s">
        <v>8</v>
      </c>
      <c r="J93" s="1" t="s">
        <v>9</v>
      </c>
      <c r="K93" s="1" t="s">
        <v>10</v>
      </c>
      <c r="L93" s="3" t="s">
        <v>11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" t="s">
        <v>12</v>
      </c>
      <c r="B94" s="3" t="s">
        <v>13</v>
      </c>
      <c r="C94" s="3">
        <v>189.0</v>
      </c>
      <c r="D94" s="5"/>
      <c r="E94" s="3">
        <f t="shared" ref="E94:E136" si="97">C94*D94</f>
        <v>0</v>
      </c>
      <c r="F94" s="5"/>
      <c r="G94" s="4">
        <f t="shared" ref="G94:G136" si="98">C94*F94</f>
        <v>0</v>
      </c>
      <c r="H94" s="5"/>
      <c r="I94" s="3">
        <f t="shared" ref="I94:I136" si="99">C94*H94</f>
        <v>0</v>
      </c>
      <c r="J94" s="3">
        <f t="shared" ref="J94:K94" si="96">D94+F94+H94</f>
        <v>0</v>
      </c>
      <c r="K94" s="3">
        <f t="shared" si="96"/>
        <v>0</v>
      </c>
      <c r="L94" s="6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" t="s">
        <v>12</v>
      </c>
      <c r="B95" s="3" t="s">
        <v>14</v>
      </c>
      <c r="C95" s="3">
        <v>189.0</v>
      </c>
      <c r="D95" s="5"/>
      <c r="E95" s="3">
        <f t="shared" si="97"/>
        <v>0</v>
      </c>
      <c r="F95" s="5"/>
      <c r="G95" s="3">
        <f t="shared" si="98"/>
        <v>0</v>
      </c>
      <c r="H95" s="5"/>
      <c r="I95" s="3">
        <f t="shared" si="99"/>
        <v>0</v>
      </c>
      <c r="J95" s="3">
        <f t="shared" ref="J95:K95" si="100">D95+F95+H95</f>
        <v>0</v>
      </c>
      <c r="K95" s="3">
        <f t="shared" si="100"/>
        <v>0</v>
      </c>
      <c r="L95" s="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" t="s">
        <v>12</v>
      </c>
      <c r="B96" s="3" t="s">
        <v>15</v>
      </c>
      <c r="C96" s="3">
        <v>189.0</v>
      </c>
      <c r="D96" s="5"/>
      <c r="E96" s="3">
        <f t="shared" si="97"/>
        <v>0</v>
      </c>
      <c r="F96" s="5"/>
      <c r="G96" s="3">
        <f t="shared" si="98"/>
        <v>0</v>
      </c>
      <c r="H96" s="5"/>
      <c r="I96" s="3">
        <f t="shared" si="99"/>
        <v>0</v>
      </c>
      <c r="J96" s="3">
        <f t="shared" ref="J96:K96" si="101">D96+F96+H96</f>
        <v>0</v>
      </c>
      <c r="K96" s="3">
        <f t="shared" si="101"/>
        <v>0</v>
      </c>
      <c r="L96" s="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" t="s">
        <v>12</v>
      </c>
      <c r="B97" s="3" t="s">
        <v>16</v>
      </c>
      <c r="C97" s="3">
        <v>189.0</v>
      </c>
      <c r="D97" s="5"/>
      <c r="E97" s="3">
        <f t="shared" si="97"/>
        <v>0</v>
      </c>
      <c r="F97" s="5"/>
      <c r="G97" s="3">
        <f t="shared" si="98"/>
        <v>0</v>
      </c>
      <c r="H97" s="5"/>
      <c r="I97" s="3">
        <f t="shared" si="99"/>
        <v>0</v>
      </c>
      <c r="J97" s="3">
        <f t="shared" ref="J97:K97" si="102">D97+F97+H97</f>
        <v>0</v>
      </c>
      <c r="K97" s="3">
        <f t="shared" si="102"/>
        <v>0</v>
      </c>
      <c r="L97" s="6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" t="s">
        <v>12</v>
      </c>
      <c r="B98" s="3" t="s">
        <v>17</v>
      </c>
      <c r="C98" s="3">
        <v>189.0</v>
      </c>
      <c r="D98" s="5"/>
      <c r="E98" s="3">
        <f t="shared" si="97"/>
        <v>0</v>
      </c>
      <c r="F98" s="5"/>
      <c r="G98" s="3">
        <f t="shared" si="98"/>
        <v>0</v>
      </c>
      <c r="H98" s="5"/>
      <c r="I98" s="3">
        <f t="shared" si="99"/>
        <v>0</v>
      </c>
      <c r="J98" s="3">
        <f t="shared" ref="J98:K98" si="103">D98+F98+H98</f>
        <v>0</v>
      </c>
      <c r="K98" s="3">
        <f t="shared" si="103"/>
        <v>0</v>
      </c>
      <c r="L98" s="6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" t="s">
        <v>12</v>
      </c>
      <c r="B99" s="3" t="s">
        <v>18</v>
      </c>
      <c r="C99" s="3">
        <v>189.0</v>
      </c>
      <c r="D99" s="5"/>
      <c r="E99" s="3">
        <f t="shared" si="97"/>
        <v>0</v>
      </c>
      <c r="F99" s="5"/>
      <c r="G99" s="3">
        <f t="shared" si="98"/>
        <v>0</v>
      </c>
      <c r="H99" s="5"/>
      <c r="I99" s="3">
        <f t="shared" si="99"/>
        <v>0</v>
      </c>
      <c r="J99" s="3">
        <f t="shared" ref="J99:K99" si="104">D99+F99+H99</f>
        <v>0</v>
      </c>
      <c r="K99" s="3">
        <f t="shared" si="104"/>
        <v>0</v>
      </c>
      <c r="L99" s="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" t="s">
        <v>12</v>
      </c>
      <c r="B100" s="3" t="s">
        <v>19</v>
      </c>
      <c r="C100" s="3">
        <v>189.0</v>
      </c>
      <c r="D100" s="5"/>
      <c r="E100" s="3">
        <f t="shared" si="97"/>
        <v>0</v>
      </c>
      <c r="F100" s="5"/>
      <c r="G100" s="3">
        <f t="shared" si="98"/>
        <v>0</v>
      </c>
      <c r="H100" s="5"/>
      <c r="I100" s="3">
        <f t="shared" si="99"/>
        <v>0</v>
      </c>
      <c r="J100" s="3">
        <f t="shared" ref="J100:K100" si="105">D100+F100+H100</f>
        <v>0</v>
      </c>
      <c r="K100" s="3">
        <f t="shared" si="105"/>
        <v>0</v>
      </c>
      <c r="L100" s="6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" t="s">
        <v>12</v>
      </c>
      <c r="B101" s="3" t="s">
        <v>20</v>
      </c>
      <c r="C101" s="3">
        <v>189.0</v>
      </c>
      <c r="D101" s="7">
        <v>1.0</v>
      </c>
      <c r="E101" s="3">
        <f t="shared" si="97"/>
        <v>189</v>
      </c>
      <c r="F101" s="7">
        <v>1.0</v>
      </c>
      <c r="G101" s="3">
        <f t="shared" si="98"/>
        <v>189</v>
      </c>
      <c r="H101" s="5"/>
      <c r="I101" s="3">
        <f t="shared" si="99"/>
        <v>0</v>
      </c>
      <c r="J101" s="3">
        <f t="shared" ref="J101:K101" si="106">D101+F101+H101</f>
        <v>2</v>
      </c>
      <c r="K101" s="3">
        <f t="shared" si="106"/>
        <v>378</v>
      </c>
      <c r="L101" s="6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" t="s">
        <v>21</v>
      </c>
      <c r="B102" s="3" t="s">
        <v>20</v>
      </c>
      <c r="C102" s="3">
        <v>149.0</v>
      </c>
      <c r="D102" s="7">
        <v>1.0</v>
      </c>
      <c r="E102" s="3">
        <f t="shared" si="97"/>
        <v>149</v>
      </c>
      <c r="F102" s="7">
        <v>1.0</v>
      </c>
      <c r="G102" s="3">
        <f t="shared" si="98"/>
        <v>149</v>
      </c>
      <c r="H102" s="5"/>
      <c r="I102" s="3">
        <f t="shared" si="99"/>
        <v>0</v>
      </c>
      <c r="J102" s="3">
        <f t="shared" ref="J102:K102" si="107">D102+F102+H102</f>
        <v>2</v>
      </c>
      <c r="K102" s="3">
        <f t="shared" si="107"/>
        <v>298</v>
      </c>
      <c r="L102" s="6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" t="s">
        <v>21</v>
      </c>
      <c r="B103" s="3" t="s">
        <v>22</v>
      </c>
      <c r="C103" s="3">
        <v>149.0</v>
      </c>
      <c r="D103" s="5"/>
      <c r="E103" s="3">
        <f t="shared" si="97"/>
        <v>0</v>
      </c>
      <c r="F103" s="5"/>
      <c r="G103" s="3">
        <f t="shared" si="98"/>
        <v>0</v>
      </c>
      <c r="H103" s="5"/>
      <c r="I103" s="3">
        <f t="shared" si="99"/>
        <v>0</v>
      </c>
      <c r="J103" s="3">
        <f t="shared" ref="J103:K103" si="108">D103+F103+H103</f>
        <v>0</v>
      </c>
      <c r="K103" s="3">
        <f t="shared" si="108"/>
        <v>0</v>
      </c>
      <c r="L103" s="6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" t="s">
        <v>21</v>
      </c>
      <c r="B104" s="3" t="s">
        <v>23</v>
      </c>
      <c r="C104" s="3">
        <v>149.0</v>
      </c>
      <c r="D104" s="5"/>
      <c r="E104" s="3">
        <f t="shared" si="97"/>
        <v>0</v>
      </c>
      <c r="F104" s="5"/>
      <c r="G104" s="3">
        <f t="shared" si="98"/>
        <v>0</v>
      </c>
      <c r="H104" s="5"/>
      <c r="I104" s="3">
        <f t="shared" si="99"/>
        <v>0</v>
      </c>
      <c r="J104" s="3">
        <f t="shared" ref="J104:K104" si="109">D104+F104+H104</f>
        <v>0</v>
      </c>
      <c r="K104" s="3">
        <f t="shared" si="109"/>
        <v>0</v>
      </c>
      <c r="L104" s="6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" t="s">
        <v>21</v>
      </c>
      <c r="B105" s="3" t="s">
        <v>14</v>
      </c>
      <c r="C105" s="3">
        <v>149.0</v>
      </c>
      <c r="D105" s="7">
        <v>1.0</v>
      </c>
      <c r="E105" s="3">
        <f t="shared" si="97"/>
        <v>149</v>
      </c>
      <c r="F105" s="5"/>
      <c r="G105" s="3">
        <f t="shared" si="98"/>
        <v>0</v>
      </c>
      <c r="H105" s="5"/>
      <c r="I105" s="3">
        <f t="shared" si="99"/>
        <v>0</v>
      </c>
      <c r="J105" s="3">
        <f t="shared" ref="J105:K105" si="110">D105+F105+H105</f>
        <v>1</v>
      </c>
      <c r="K105" s="3">
        <f t="shared" si="110"/>
        <v>149</v>
      </c>
      <c r="L105" s="6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" t="s">
        <v>21</v>
      </c>
      <c r="B106" s="3" t="s">
        <v>24</v>
      </c>
      <c r="C106" s="3">
        <v>149.0</v>
      </c>
      <c r="D106" s="5"/>
      <c r="E106" s="3">
        <f t="shared" si="97"/>
        <v>0</v>
      </c>
      <c r="F106" s="5"/>
      <c r="G106" s="3">
        <f t="shared" si="98"/>
        <v>0</v>
      </c>
      <c r="H106" s="5"/>
      <c r="I106" s="3">
        <f t="shared" si="99"/>
        <v>0</v>
      </c>
      <c r="J106" s="3">
        <f t="shared" ref="J106:K106" si="111">D106+F106+H106</f>
        <v>0</v>
      </c>
      <c r="K106" s="3">
        <f t="shared" si="111"/>
        <v>0</v>
      </c>
      <c r="L106" s="6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" t="s">
        <v>21</v>
      </c>
      <c r="B107" s="3" t="s">
        <v>25</v>
      </c>
      <c r="C107" s="3">
        <v>149.0</v>
      </c>
      <c r="D107" s="7">
        <v>1.0</v>
      </c>
      <c r="E107" s="3">
        <f t="shared" si="97"/>
        <v>149</v>
      </c>
      <c r="F107" s="5"/>
      <c r="G107" s="3">
        <f t="shared" si="98"/>
        <v>0</v>
      </c>
      <c r="H107" s="5"/>
      <c r="I107" s="3">
        <f t="shared" si="99"/>
        <v>0</v>
      </c>
      <c r="J107" s="3">
        <f t="shared" ref="J107:K107" si="112">D107+F107+H107</f>
        <v>1</v>
      </c>
      <c r="K107" s="3">
        <f t="shared" si="112"/>
        <v>149</v>
      </c>
      <c r="L107" s="6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" t="s">
        <v>21</v>
      </c>
      <c r="B108" s="3" t="s">
        <v>26</v>
      </c>
      <c r="C108" s="3">
        <v>149.0</v>
      </c>
      <c r="D108" s="5"/>
      <c r="E108" s="3">
        <f t="shared" si="97"/>
        <v>0</v>
      </c>
      <c r="F108" s="5"/>
      <c r="G108" s="3">
        <f t="shared" si="98"/>
        <v>0</v>
      </c>
      <c r="H108" s="5"/>
      <c r="I108" s="3">
        <f t="shared" si="99"/>
        <v>0</v>
      </c>
      <c r="J108" s="3">
        <f t="shared" ref="J108:K108" si="113">D108+F108+H108</f>
        <v>0</v>
      </c>
      <c r="K108" s="3">
        <f t="shared" si="113"/>
        <v>0</v>
      </c>
      <c r="L108" s="6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" t="s">
        <v>21</v>
      </c>
      <c r="B109" s="3" t="s">
        <v>27</v>
      </c>
      <c r="C109" s="3">
        <v>149.0</v>
      </c>
      <c r="D109" s="5"/>
      <c r="E109" s="3">
        <f t="shared" si="97"/>
        <v>0</v>
      </c>
      <c r="F109" s="5"/>
      <c r="G109" s="3">
        <f t="shared" si="98"/>
        <v>0</v>
      </c>
      <c r="H109" s="5"/>
      <c r="I109" s="3">
        <f t="shared" si="99"/>
        <v>0</v>
      </c>
      <c r="J109" s="3">
        <f t="shared" ref="J109:K109" si="114">D109+F109+H109</f>
        <v>0</v>
      </c>
      <c r="K109" s="3">
        <f t="shared" si="114"/>
        <v>0</v>
      </c>
      <c r="L109" s="6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" t="s">
        <v>21</v>
      </c>
      <c r="B110" s="3" t="s">
        <v>28</v>
      </c>
      <c r="C110" s="3">
        <v>149.0</v>
      </c>
      <c r="D110" s="5"/>
      <c r="E110" s="3">
        <f t="shared" si="97"/>
        <v>0</v>
      </c>
      <c r="F110" s="5"/>
      <c r="G110" s="3">
        <f t="shared" si="98"/>
        <v>0</v>
      </c>
      <c r="H110" s="5"/>
      <c r="I110" s="3">
        <f t="shared" si="99"/>
        <v>0</v>
      </c>
      <c r="J110" s="3">
        <f t="shared" ref="J110:K110" si="115">D110+F110+H110</f>
        <v>0</v>
      </c>
      <c r="K110" s="3">
        <f t="shared" si="115"/>
        <v>0</v>
      </c>
      <c r="L110" s="6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" t="s">
        <v>21</v>
      </c>
      <c r="B111" s="3" t="s">
        <v>29</v>
      </c>
      <c r="C111" s="3">
        <v>149.0</v>
      </c>
      <c r="D111" s="5"/>
      <c r="E111" s="3">
        <f t="shared" si="97"/>
        <v>0</v>
      </c>
      <c r="F111" s="5"/>
      <c r="G111" s="3">
        <f t="shared" si="98"/>
        <v>0</v>
      </c>
      <c r="H111" s="5"/>
      <c r="I111" s="3">
        <f t="shared" si="99"/>
        <v>0</v>
      </c>
      <c r="J111" s="3">
        <f t="shared" ref="J111:K111" si="116">D111+F111+H111</f>
        <v>0</v>
      </c>
      <c r="K111" s="3">
        <f t="shared" si="116"/>
        <v>0</v>
      </c>
      <c r="L111" s="6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" t="s">
        <v>21</v>
      </c>
      <c r="B112" s="3" t="s">
        <v>30</v>
      </c>
      <c r="C112" s="3">
        <v>149.0</v>
      </c>
      <c r="D112" s="5"/>
      <c r="E112" s="3">
        <f t="shared" si="97"/>
        <v>0</v>
      </c>
      <c r="F112" s="5"/>
      <c r="G112" s="3">
        <f t="shared" si="98"/>
        <v>0</v>
      </c>
      <c r="H112" s="5"/>
      <c r="I112" s="3">
        <f t="shared" si="99"/>
        <v>0</v>
      </c>
      <c r="J112" s="3">
        <f t="shared" ref="J112:K112" si="117">D112+F112+H112</f>
        <v>0</v>
      </c>
      <c r="K112" s="3">
        <f t="shared" si="117"/>
        <v>0</v>
      </c>
      <c r="L112" s="6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" t="s">
        <v>21</v>
      </c>
      <c r="B113" s="3" t="s">
        <v>31</v>
      </c>
      <c r="C113" s="3">
        <v>149.0</v>
      </c>
      <c r="D113" s="7">
        <v>1.0</v>
      </c>
      <c r="E113" s="3">
        <f t="shared" si="97"/>
        <v>149</v>
      </c>
      <c r="F113" s="5"/>
      <c r="G113" s="3">
        <f t="shared" si="98"/>
        <v>0</v>
      </c>
      <c r="H113" s="5"/>
      <c r="I113" s="3">
        <f t="shared" si="99"/>
        <v>0</v>
      </c>
      <c r="J113" s="3">
        <f t="shared" ref="J113:K113" si="118">D113+F113+H113</f>
        <v>1</v>
      </c>
      <c r="K113" s="3">
        <f t="shared" si="118"/>
        <v>149</v>
      </c>
      <c r="L113" s="6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" t="s">
        <v>21</v>
      </c>
      <c r="B114" s="3" t="s">
        <v>32</v>
      </c>
      <c r="C114" s="3">
        <v>149.0</v>
      </c>
      <c r="D114" s="5"/>
      <c r="E114" s="3">
        <f t="shared" si="97"/>
        <v>0</v>
      </c>
      <c r="F114" s="5"/>
      <c r="G114" s="3">
        <f t="shared" si="98"/>
        <v>0</v>
      </c>
      <c r="H114" s="5"/>
      <c r="I114" s="3">
        <f t="shared" si="99"/>
        <v>0</v>
      </c>
      <c r="J114" s="3">
        <f t="shared" ref="J114:K114" si="119">D114+F114+H114</f>
        <v>0</v>
      </c>
      <c r="K114" s="3">
        <f t="shared" si="119"/>
        <v>0</v>
      </c>
      <c r="L114" s="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" t="s">
        <v>33</v>
      </c>
      <c r="B115" s="3" t="s">
        <v>34</v>
      </c>
      <c r="C115" s="3">
        <v>159.0</v>
      </c>
      <c r="D115" s="7">
        <v>0.0</v>
      </c>
      <c r="E115" s="3">
        <f t="shared" si="97"/>
        <v>0</v>
      </c>
      <c r="F115" s="7">
        <v>1.0</v>
      </c>
      <c r="G115" s="3">
        <f t="shared" si="98"/>
        <v>159</v>
      </c>
      <c r="H115" s="5"/>
      <c r="I115" s="3">
        <f t="shared" si="99"/>
        <v>0</v>
      </c>
      <c r="J115" s="3">
        <f t="shared" ref="J115:K115" si="120">D115+F115+H115</f>
        <v>1</v>
      </c>
      <c r="K115" s="3">
        <f t="shared" si="120"/>
        <v>159</v>
      </c>
      <c r="L115" s="6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" t="s">
        <v>33</v>
      </c>
      <c r="B116" s="3" t="s">
        <v>35</v>
      </c>
      <c r="C116" s="3">
        <v>159.0</v>
      </c>
      <c r="D116" s="5"/>
      <c r="E116" s="3">
        <f t="shared" si="97"/>
        <v>0</v>
      </c>
      <c r="F116" s="5"/>
      <c r="G116" s="3">
        <f t="shared" si="98"/>
        <v>0</v>
      </c>
      <c r="H116" s="5"/>
      <c r="I116" s="3">
        <f t="shared" si="99"/>
        <v>0</v>
      </c>
      <c r="J116" s="3">
        <f t="shared" ref="J116:K116" si="121">D116+F116+H116</f>
        <v>0</v>
      </c>
      <c r="K116" s="3">
        <f t="shared" si="121"/>
        <v>0</v>
      </c>
      <c r="L116" s="6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" t="s">
        <v>33</v>
      </c>
      <c r="B117" s="3" t="s">
        <v>36</v>
      </c>
      <c r="C117" s="3">
        <v>159.0</v>
      </c>
      <c r="D117" s="5"/>
      <c r="E117" s="3">
        <f t="shared" si="97"/>
        <v>0</v>
      </c>
      <c r="F117" s="5"/>
      <c r="G117" s="3">
        <f t="shared" si="98"/>
        <v>0</v>
      </c>
      <c r="H117" s="5"/>
      <c r="I117" s="3">
        <f t="shared" si="99"/>
        <v>0</v>
      </c>
      <c r="J117" s="3">
        <f t="shared" ref="J117:K117" si="122">D117+F117+H117</f>
        <v>0</v>
      </c>
      <c r="K117" s="3">
        <f t="shared" si="122"/>
        <v>0</v>
      </c>
      <c r="L117" s="6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" t="s">
        <v>33</v>
      </c>
      <c r="B118" s="3" t="s">
        <v>37</v>
      </c>
      <c r="C118" s="3">
        <v>159.0</v>
      </c>
      <c r="D118" s="5"/>
      <c r="E118" s="3">
        <f t="shared" si="97"/>
        <v>0</v>
      </c>
      <c r="F118" s="5"/>
      <c r="G118" s="3">
        <f t="shared" si="98"/>
        <v>0</v>
      </c>
      <c r="H118" s="5"/>
      <c r="I118" s="3">
        <f t="shared" si="99"/>
        <v>0</v>
      </c>
      <c r="J118" s="3">
        <f t="shared" ref="J118:K118" si="123">D118+F118+H118</f>
        <v>0</v>
      </c>
      <c r="K118" s="3">
        <f t="shared" si="123"/>
        <v>0</v>
      </c>
      <c r="L118" s="6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" t="s">
        <v>38</v>
      </c>
      <c r="B119" s="3" t="s">
        <v>31</v>
      </c>
      <c r="C119" s="3">
        <v>99.0</v>
      </c>
      <c r="D119" s="7">
        <v>1.0</v>
      </c>
      <c r="E119" s="3">
        <f t="shared" si="97"/>
        <v>99</v>
      </c>
      <c r="F119" s="7">
        <v>1.0</v>
      </c>
      <c r="G119" s="3">
        <f t="shared" si="98"/>
        <v>99</v>
      </c>
      <c r="H119" s="5"/>
      <c r="I119" s="3">
        <f t="shared" si="99"/>
        <v>0</v>
      </c>
      <c r="J119" s="3">
        <f t="shared" ref="J119:K119" si="124">D119+F119+H119</f>
        <v>2</v>
      </c>
      <c r="K119" s="3">
        <f t="shared" si="124"/>
        <v>198</v>
      </c>
      <c r="L119" s="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" t="s">
        <v>38</v>
      </c>
      <c r="B120" s="3" t="s">
        <v>24</v>
      </c>
      <c r="C120" s="3">
        <v>99.0</v>
      </c>
      <c r="D120" s="5"/>
      <c r="E120" s="3">
        <f t="shared" si="97"/>
        <v>0</v>
      </c>
      <c r="F120" s="5"/>
      <c r="G120" s="3">
        <f t="shared" si="98"/>
        <v>0</v>
      </c>
      <c r="H120" s="5"/>
      <c r="I120" s="3">
        <f t="shared" si="99"/>
        <v>0</v>
      </c>
      <c r="J120" s="3">
        <f t="shared" ref="J120:K120" si="125">D120+F120+H120</f>
        <v>0</v>
      </c>
      <c r="K120" s="3">
        <f t="shared" si="125"/>
        <v>0</v>
      </c>
      <c r="L120" s="6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" t="s">
        <v>38</v>
      </c>
      <c r="B121" s="3" t="s">
        <v>39</v>
      </c>
      <c r="C121" s="3">
        <v>99.0</v>
      </c>
      <c r="D121" s="5"/>
      <c r="E121" s="3">
        <f t="shared" si="97"/>
        <v>0</v>
      </c>
      <c r="F121" s="5"/>
      <c r="G121" s="3">
        <f t="shared" si="98"/>
        <v>0</v>
      </c>
      <c r="H121" s="5"/>
      <c r="I121" s="3">
        <f t="shared" si="99"/>
        <v>0</v>
      </c>
      <c r="J121" s="3">
        <f t="shared" ref="J121:K121" si="126">D121+F121+H121</f>
        <v>0</v>
      </c>
      <c r="K121" s="3">
        <f t="shared" si="126"/>
        <v>0</v>
      </c>
      <c r="L121" s="6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" t="s">
        <v>38</v>
      </c>
      <c r="B122" s="3" t="s">
        <v>40</v>
      </c>
      <c r="C122" s="3">
        <v>99.0</v>
      </c>
      <c r="D122" s="7">
        <v>3.0</v>
      </c>
      <c r="E122" s="3">
        <f t="shared" si="97"/>
        <v>297</v>
      </c>
      <c r="F122" s="7">
        <v>0.0</v>
      </c>
      <c r="G122" s="3">
        <f t="shared" si="98"/>
        <v>0</v>
      </c>
      <c r="H122" s="5"/>
      <c r="I122" s="3">
        <f t="shared" si="99"/>
        <v>0</v>
      </c>
      <c r="J122" s="3">
        <f t="shared" ref="J122:K122" si="127">D122+F122+H122</f>
        <v>3</v>
      </c>
      <c r="K122" s="3">
        <f t="shared" si="127"/>
        <v>297</v>
      </c>
      <c r="L122" s="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" t="s">
        <v>38</v>
      </c>
      <c r="B123" s="3" t="s">
        <v>41</v>
      </c>
      <c r="C123" s="3">
        <v>99.0</v>
      </c>
      <c r="D123" s="5"/>
      <c r="E123" s="3">
        <f t="shared" si="97"/>
        <v>0</v>
      </c>
      <c r="F123" s="5"/>
      <c r="G123" s="3">
        <f t="shared" si="98"/>
        <v>0</v>
      </c>
      <c r="H123" s="5"/>
      <c r="I123" s="3">
        <f t="shared" si="99"/>
        <v>0</v>
      </c>
      <c r="J123" s="3">
        <f t="shared" ref="J123:K123" si="128">D123+F123+H123</f>
        <v>0</v>
      </c>
      <c r="K123" s="3">
        <f t="shared" si="128"/>
        <v>0</v>
      </c>
      <c r="L123" s="6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" t="s">
        <v>42</v>
      </c>
      <c r="B124" s="3" t="s">
        <v>43</v>
      </c>
      <c r="C124" s="3">
        <v>149.0</v>
      </c>
      <c r="D124" s="5"/>
      <c r="E124" s="3">
        <f t="shared" si="97"/>
        <v>0</v>
      </c>
      <c r="F124" s="5"/>
      <c r="G124" s="3">
        <f t="shared" si="98"/>
        <v>0</v>
      </c>
      <c r="H124" s="5"/>
      <c r="I124" s="3">
        <f t="shared" si="99"/>
        <v>0</v>
      </c>
      <c r="J124" s="3">
        <f t="shared" ref="J124:K124" si="129">D124+F124+H124</f>
        <v>0</v>
      </c>
      <c r="K124" s="3">
        <f t="shared" si="129"/>
        <v>0</v>
      </c>
      <c r="L124" s="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" t="s">
        <v>42</v>
      </c>
      <c r="B125" s="3" t="s">
        <v>44</v>
      </c>
      <c r="C125" s="3">
        <v>149.0</v>
      </c>
      <c r="D125" s="5"/>
      <c r="E125" s="3">
        <f t="shared" si="97"/>
        <v>0</v>
      </c>
      <c r="F125" s="5"/>
      <c r="G125" s="3">
        <f t="shared" si="98"/>
        <v>0</v>
      </c>
      <c r="H125" s="5"/>
      <c r="I125" s="3">
        <f t="shared" si="99"/>
        <v>0</v>
      </c>
      <c r="J125" s="3">
        <f t="shared" ref="J125:K125" si="130">D125+F125+H125</f>
        <v>0</v>
      </c>
      <c r="K125" s="3">
        <f t="shared" si="130"/>
        <v>0</v>
      </c>
      <c r="L125" s="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" t="s">
        <v>42</v>
      </c>
      <c r="B126" s="3" t="s">
        <v>45</v>
      </c>
      <c r="C126" s="3">
        <v>149.0</v>
      </c>
      <c r="D126" s="5"/>
      <c r="E126" s="3">
        <f t="shared" si="97"/>
        <v>0</v>
      </c>
      <c r="F126" s="5"/>
      <c r="G126" s="3">
        <f t="shared" si="98"/>
        <v>0</v>
      </c>
      <c r="H126" s="5"/>
      <c r="I126" s="3">
        <f t="shared" si="99"/>
        <v>0</v>
      </c>
      <c r="J126" s="3">
        <f t="shared" ref="J126:K126" si="131">D126+F126+H126</f>
        <v>0</v>
      </c>
      <c r="K126" s="3">
        <f t="shared" si="131"/>
        <v>0</v>
      </c>
      <c r="L126" s="6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" t="s">
        <v>42</v>
      </c>
      <c r="B127" s="3" t="s">
        <v>46</v>
      </c>
      <c r="C127" s="3">
        <v>149.0</v>
      </c>
      <c r="D127" s="5"/>
      <c r="E127" s="3">
        <f t="shared" si="97"/>
        <v>0</v>
      </c>
      <c r="F127" s="5"/>
      <c r="G127" s="3">
        <f t="shared" si="98"/>
        <v>0</v>
      </c>
      <c r="H127" s="5"/>
      <c r="I127" s="3">
        <f t="shared" si="99"/>
        <v>0</v>
      </c>
      <c r="J127" s="3">
        <f t="shared" ref="J127:K127" si="132">D127+F127+H127</f>
        <v>0</v>
      </c>
      <c r="K127" s="3">
        <f t="shared" si="132"/>
        <v>0</v>
      </c>
      <c r="L127" s="6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" t="s">
        <v>47</v>
      </c>
      <c r="B128" s="3" t="s">
        <v>48</v>
      </c>
      <c r="C128" s="3">
        <v>25.0</v>
      </c>
      <c r="D128" s="5"/>
      <c r="E128" s="3">
        <f t="shared" si="97"/>
        <v>0</v>
      </c>
      <c r="F128" s="5"/>
      <c r="G128" s="3">
        <f t="shared" si="98"/>
        <v>0</v>
      </c>
      <c r="H128" s="5"/>
      <c r="I128" s="3">
        <f t="shared" si="99"/>
        <v>0</v>
      </c>
      <c r="J128" s="3">
        <f t="shared" ref="J128:K128" si="133">D128+F128+H128</f>
        <v>0</v>
      </c>
      <c r="K128" s="3">
        <f t="shared" si="133"/>
        <v>0</v>
      </c>
      <c r="L128" s="6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" t="s">
        <v>47</v>
      </c>
      <c r="B129" s="3" t="s">
        <v>49</v>
      </c>
      <c r="C129" s="3">
        <v>20.0</v>
      </c>
      <c r="D129" s="7">
        <v>0.0</v>
      </c>
      <c r="E129" s="3">
        <f t="shared" si="97"/>
        <v>0</v>
      </c>
      <c r="F129" s="7">
        <v>2.0</v>
      </c>
      <c r="G129" s="3">
        <f t="shared" si="98"/>
        <v>40</v>
      </c>
      <c r="H129" s="5"/>
      <c r="I129" s="3">
        <f t="shared" si="99"/>
        <v>0</v>
      </c>
      <c r="J129" s="3">
        <f t="shared" ref="J129:K129" si="134">D129+F129+H129</f>
        <v>2</v>
      </c>
      <c r="K129" s="3">
        <f t="shared" si="134"/>
        <v>40</v>
      </c>
      <c r="L129" s="6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" t="s">
        <v>47</v>
      </c>
      <c r="B130" s="3" t="s">
        <v>50</v>
      </c>
      <c r="C130" s="3">
        <v>20.0</v>
      </c>
      <c r="D130" s="5"/>
      <c r="E130" s="3">
        <f t="shared" si="97"/>
        <v>0</v>
      </c>
      <c r="F130" s="5"/>
      <c r="G130" s="3">
        <f t="shared" si="98"/>
        <v>0</v>
      </c>
      <c r="H130" s="5"/>
      <c r="I130" s="3">
        <f t="shared" si="99"/>
        <v>0</v>
      </c>
      <c r="J130" s="3">
        <f t="shared" ref="J130:K130" si="135">D130+F130+H130</f>
        <v>0</v>
      </c>
      <c r="K130" s="3">
        <f t="shared" si="135"/>
        <v>0</v>
      </c>
      <c r="L130" s="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" t="s">
        <v>47</v>
      </c>
      <c r="B131" s="3" t="s">
        <v>51</v>
      </c>
      <c r="C131" s="3">
        <v>20.0</v>
      </c>
      <c r="D131" s="5"/>
      <c r="E131" s="3">
        <f t="shared" si="97"/>
        <v>0</v>
      </c>
      <c r="F131" s="5"/>
      <c r="G131" s="3">
        <f t="shared" si="98"/>
        <v>0</v>
      </c>
      <c r="H131" s="5"/>
      <c r="I131" s="3">
        <f t="shared" si="99"/>
        <v>0</v>
      </c>
      <c r="J131" s="3">
        <f t="shared" ref="J131:K131" si="136">D131+F131+H131</f>
        <v>0</v>
      </c>
      <c r="K131" s="3">
        <f t="shared" si="136"/>
        <v>0</v>
      </c>
      <c r="L131" s="6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" t="s">
        <v>47</v>
      </c>
      <c r="B132" s="3" t="s">
        <v>52</v>
      </c>
      <c r="C132" s="3">
        <v>25.0</v>
      </c>
      <c r="D132" s="5"/>
      <c r="E132" s="3">
        <f t="shared" si="97"/>
        <v>0</v>
      </c>
      <c r="F132" s="5"/>
      <c r="G132" s="3">
        <f t="shared" si="98"/>
        <v>0</v>
      </c>
      <c r="H132" s="5"/>
      <c r="I132" s="3">
        <f t="shared" si="99"/>
        <v>0</v>
      </c>
      <c r="J132" s="3">
        <f t="shared" ref="J132:K132" si="137">D132+F132+H132</f>
        <v>0</v>
      </c>
      <c r="K132" s="3">
        <f t="shared" si="137"/>
        <v>0</v>
      </c>
      <c r="L132" s="6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" t="s">
        <v>47</v>
      </c>
      <c r="B133" s="3" t="s">
        <v>53</v>
      </c>
      <c r="C133" s="3">
        <v>20.0</v>
      </c>
      <c r="D133" s="5"/>
      <c r="E133" s="3">
        <f t="shared" si="97"/>
        <v>0</v>
      </c>
      <c r="F133" s="5"/>
      <c r="G133" s="3">
        <f t="shared" si="98"/>
        <v>0</v>
      </c>
      <c r="H133" s="5"/>
      <c r="I133" s="3">
        <f t="shared" si="99"/>
        <v>0</v>
      </c>
      <c r="J133" s="3">
        <f t="shared" ref="J133:K133" si="138">D133+F133+H133</f>
        <v>0</v>
      </c>
      <c r="K133" s="3">
        <f t="shared" si="138"/>
        <v>0</v>
      </c>
      <c r="L133" s="6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" t="s">
        <v>54</v>
      </c>
      <c r="B134" s="3" t="s">
        <v>55</v>
      </c>
      <c r="C134" s="3">
        <v>149.0</v>
      </c>
      <c r="D134" s="5"/>
      <c r="E134" s="3">
        <f t="shared" si="97"/>
        <v>0</v>
      </c>
      <c r="F134" s="5"/>
      <c r="G134" s="3">
        <f t="shared" si="98"/>
        <v>0</v>
      </c>
      <c r="H134" s="5"/>
      <c r="I134" s="3">
        <f t="shared" si="99"/>
        <v>0</v>
      </c>
      <c r="J134" s="3">
        <f t="shared" ref="J134:K134" si="139">D134+F134+H134</f>
        <v>0</v>
      </c>
      <c r="K134" s="3">
        <f t="shared" si="139"/>
        <v>0</v>
      </c>
      <c r="L134" s="6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" t="s">
        <v>54</v>
      </c>
      <c r="B135" s="3" t="s">
        <v>56</v>
      </c>
      <c r="C135" s="3">
        <v>149.0</v>
      </c>
      <c r="D135" s="5"/>
      <c r="E135" s="3">
        <f t="shared" si="97"/>
        <v>0</v>
      </c>
      <c r="F135" s="5"/>
      <c r="G135" s="3">
        <f t="shared" si="98"/>
        <v>0</v>
      </c>
      <c r="H135" s="5"/>
      <c r="I135" s="3">
        <f t="shared" si="99"/>
        <v>0</v>
      </c>
      <c r="J135" s="3">
        <f t="shared" ref="J135:K135" si="140">D135+F135+H135</f>
        <v>0</v>
      </c>
      <c r="K135" s="3">
        <f t="shared" si="140"/>
        <v>0</v>
      </c>
      <c r="L135" s="6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" t="s">
        <v>54</v>
      </c>
      <c r="B136" s="3" t="s">
        <v>57</v>
      </c>
      <c r="C136" s="3">
        <v>149.0</v>
      </c>
      <c r="D136" s="5"/>
      <c r="E136" s="3">
        <f t="shared" si="97"/>
        <v>0</v>
      </c>
      <c r="F136" s="5"/>
      <c r="G136" s="3">
        <f t="shared" si="98"/>
        <v>0</v>
      </c>
      <c r="H136" s="5"/>
      <c r="I136" s="3">
        <f t="shared" si="99"/>
        <v>0</v>
      </c>
      <c r="J136" s="3">
        <f t="shared" ref="J136:K136" si="141">D136+F136+H136</f>
        <v>0</v>
      </c>
      <c r="K136" s="3">
        <f t="shared" si="141"/>
        <v>0</v>
      </c>
      <c r="L136" s="6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8" t="s">
        <v>58</v>
      </c>
      <c r="B137" s="9"/>
      <c r="C137" s="9"/>
      <c r="D137" s="9"/>
      <c r="E137" s="8">
        <f>SUM(E94:E136)</f>
        <v>1181</v>
      </c>
      <c r="F137" s="9"/>
      <c r="G137" s="8">
        <f>SUM(G94:G136)</f>
        <v>636</v>
      </c>
      <c r="H137" s="9"/>
      <c r="I137" s="8">
        <f t="shared" ref="I137:K137" si="142">SUM(I94:I136)</f>
        <v>0</v>
      </c>
      <c r="J137" s="8">
        <f t="shared" si="142"/>
        <v>15</v>
      </c>
      <c r="K137" s="8">
        <f t="shared" si="142"/>
        <v>1817</v>
      </c>
      <c r="L137" s="12">
        <v>46003.0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" t="s">
        <v>0</v>
      </c>
      <c r="B139" s="1" t="s">
        <v>1</v>
      </c>
      <c r="C139" s="1" t="s">
        <v>2</v>
      </c>
      <c r="D139" s="2" t="s">
        <v>3</v>
      </c>
      <c r="E139" s="1" t="s">
        <v>4</v>
      </c>
      <c r="F139" s="2" t="s">
        <v>5</v>
      </c>
      <c r="G139" s="1" t="s">
        <v>6</v>
      </c>
      <c r="H139" s="2" t="s">
        <v>7</v>
      </c>
      <c r="I139" s="1" t="s">
        <v>8</v>
      </c>
      <c r="J139" s="1" t="s">
        <v>9</v>
      </c>
      <c r="K139" s="1" t="s">
        <v>10</v>
      </c>
      <c r="L139" s="3" t="s">
        <v>11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" t="s">
        <v>12</v>
      </c>
      <c r="B140" s="3" t="s">
        <v>13</v>
      </c>
      <c r="C140" s="3">
        <v>189.0</v>
      </c>
      <c r="D140" s="5"/>
      <c r="E140" s="3">
        <f t="shared" ref="E140:E182" si="144">C140*D140</f>
        <v>0</v>
      </c>
      <c r="F140" s="5"/>
      <c r="G140" s="4">
        <f t="shared" ref="G140:G182" si="145">C140*F140</f>
        <v>0</v>
      </c>
      <c r="H140" s="7">
        <v>1.0</v>
      </c>
      <c r="I140" s="3">
        <f t="shared" ref="I140:I182" si="146">C140*H140</f>
        <v>189</v>
      </c>
      <c r="J140" s="3">
        <f t="shared" ref="J140:K140" si="143">D140+F140+H140</f>
        <v>1</v>
      </c>
      <c r="K140" s="3">
        <f t="shared" si="143"/>
        <v>189</v>
      </c>
      <c r="L140" s="6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" t="s">
        <v>12</v>
      </c>
      <c r="B141" s="3" t="s">
        <v>14</v>
      </c>
      <c r="C141" s="3">
        <v>189.0</v>
      </c>
      <c r="D141" s="7">
        <v>1.0</v>
      </c>
      <c r="E141" s="3">
        <f t="shared" si="144"/>
        <v>189</v>
      </c>
      <c r="F141" s="5"/>
      <c r="G141" s="3">
        <f t="shared" si="145"/>
        <v>0</v>
      </c>
      <c r="H141" s="5"/>
      <c r="I141" s="3">
        <f t="shared" si="146"/>
        <v>0</v>
      </c>
      <c r="J141" s="3">
        <f t="shared" ref="J141:K141" si="147">D141+F141+H141</f>
        <v>1</v>
      </c>
      <c r="K141" s="3">
        <f t="shared" si="147"/>
        <v>189</v>
      </c>
      <c r="L141" s="6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" t="s">
        <v>12</v>
      </c>
      <c r="B142" s="3" t="s">
        <v>15</v>
      </c>
      <c r="C142" s="3">
        <v>189.0</v>
      </c>
      <c r="D142" s="7"/>
      <c r="E142" s="3">
        <f t="shared" si="144"/>
        <v>0</v>
      </c>
      <c r="F142" s="5"/>
      <c r="G142" s="3">
        <f t="shared" si="145"/>
        <v>0</v>
      </c>
      <c r="H142" s="7">
        <v>1.0</v>
      </c>
      <c r="I142" s="3">
        <f t="shared" si="146"/>
        <v>189</v>
      </c>
      <c r="J142" s="3">
        <f t="shared" ref="J142:K142" si="148">D142+F142+H142</f>
        <v>1</v>
      </c>
      <c r="K142" s="3">
        <f t="shared" si="148"/>
        <v>189</v>
      </c>
      <c r="L142" s="6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" t="s">
        <v>12</v>
      </c>
      <c r="B143" s="3" t="s">
        <v>16</v>
      </c>
      <c r="C143" s="3">
        <v>189.0</v>
      </c>
      <c r="D143" s="5"/>
      <c r="E143" s="3">
        <f t="shared" si="144"/>
        <v>0</v>
      </c>
      <c r="F143" s="5"/>
      <c r="G143" s="3">
        <f t="shared" si="145"/>
        <v>0</v>
      </c>
      <c r="H143" s="5"/>
      <c r="I143" s="3">
        <f t="shared" si="146"/>
        <v>0</v>
      </c>
      <c r="J143" s="3">
        <f t="shared" ref="J143:K143" si="149">D143+F143+H143</f>
        <v>0</v>
      </c>
      <c r="K143" s="3">
        <f t="shared" si="149"/>
        <v>0</v>
      </c>
      <c r="L143" s="6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" t="s">
        <v>12</v>
      </c>
      <c r="B144" s="3" t="s">
        <v>17</v>
      </c>
      <c r="C144" s="3">
        <v>189.0</v>
      </c>
      <c r="D144" s="5"/>
      <c r="E144" s="3">
        <f t="shared" si="144"/>
        <v>0</v>
      </c>
      <c r="F144" s="5"/>
      <c r="G144" s="3">
        <f t="shared" si="145"/>
        <v>0</v>
      </c>
      <c r="H144" s="5"/>
      <c r="I144" s="3">
        <f t="shared" si="146"/>
        <v>0</v>
      </c>
      <c r="J144" s="3">
        <f t="shared" ref="J144:K144" si="150">D144+F144+H144</f>
        <v>0</v>
      </c>
      <c r="K144" s="3">
        <f t="shared" si="150"/>
        <v>0</v>
      </c>
      <c r="L144" s="6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" t="s">
        <v>12</v>
      </c>
      <c r="B145" s="3" t="s">
        <v>18</v>
      </c>
      <c r="C145" s="3">
        <v>189.0</v>
      </c>
      <c r="D145" s="5"/>
      <c r="E145" s="3">
        <f t="shared" si="144"/>
        <v>0</v>
      </c>
      <c r="F145" s="5"/>
      <c r="G145" s="3">
        <f t="shared" si="145"/>
        <v>0</v>
      </c>
      <c r="H145" s="5"/>
      <c r="I145" s="3">
        <f t="shared" si="146"/>
        <v>0</v>
      </c>
      <c r="J145" s="3">
        <f t="shared" ref="J145:K145" si="151">D145+F145+H145</f>
        <v>0</v>
      </c>
      <c r="K145" s="3">
        <f t="shared" si="151"/>
        <v>0</v>
      </c>
      <c r="L145" s="6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" t="s">
        <v>12</v>
      </c>
      <c r="B146" s="3" t="s">
        <v>19</v>
      </c>
      <c r="C146" s="3">
        <v>189.0</v>
      </c>
      <c r="D146" s="5"/>
      <c r="E146" s="3">
        <f t="shared" si="144"/>
        <v>0</v>
      </c>
      <c r="F146" s="5"/>
      <c r="G146" s="3">
        <f t="shared" si="145"/>
        <v>0</v>
      </c>
      <c r="H146" s="5"/>
      <c r="I146" s="3">
        <f t="shared" si="146"/>
        <v>0</v>
      </c>
      <c r="J146" s="3">
        <f t="shared" ref="J146:K146" si="152">D146+F146+H146</f>
        <v>0</v>
      </c>
      <c r="K146" s="3">
        <f t="shared" si="152"/>
        <v>0</v>
      </c>
      <c r="L146" s="6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" t="s">
        <v>12</v>
      </c>
      <c r="B147" s="3" t="s">
        <v>20</v>
      </c>
      <c r="C147" s="3">
        <v>189.0</v>
      </c>
      <c r="D147" s="5"/>
      <c r="E147" s="3">
        <f t="shared" si="144"/>
        <v>0</v>
      </c>
      <c r="F147" s="5"/>
      <c r="G147" s="3">
        <f t="shared" si="145"/>
        <v>0</v>
      </c>
      <c r="H147" s="5"/>
      <c r="I147" s="3">
        <f t="shared" si="146"/>
        <v>0</v>
      </c>
      <c r="J147" s="3">
        <f t="shared" ref="J147:K147" si="153">D147+F147+H147</f>
        <v>0</v>
      </c>
      <c r="K147" s="3">
        <f t="shared" si="153"/>
        <v>0</v>
      </c>
      <c r="L147" s="6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" t="s">
        <v>21</v>
      </c>
      <c r="B148" s="3" t="s">
        <v>20</v>
      </c>
      <c r="C148" s="3">
        <v>149.0</v>
      </c>
      <c r="D148" s="7">
        <v>2.0</v>
      </c>
      <c r="E148" s="3">
        <f t="shared" si="144"/>
        <v>298</v>
      </c>
      <c r="F148" s="5"/>
      <c r="G148" s="3">
        <f t="shared" si="145"/>
        <v>0</v>
      </c>
      <c r="H148" s="5"/>
      <c r="I148" s="3">
        <f t="shared" si="146"/>
        <v>0</v>
      </c>
      <c r="J148" s="3">
        <f t="shared" ref="J148:K148" si="154">D148+F148+H148</f>
        <v>2</v>
      </c>
      <c r="K148" s="3">
        <f t="shared" si="154"/>
        <v>298</v>
      </c>
      <c r="L148" s="6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" t="s">
        <v>21</v>
      </c>
      <c r="B149" s="3" t="s">
        <v>22</v>
      </c>
      <c r="C149" s="3">
        <v>149.0</v>
      </c>
      <c r="D149" s="5"/>
      <c r="E149" s="3">
        <f t="shared" si="144"/>
        <v>0</v>
      </c>
      <c r="F149" s="5"/>
      <c r="G149" s="3">
        <f t="shared" si="145"/>
        <v>0</v>
      </c>
      <c r="H149" s="5"/>
      <c r="I149" s="3">
        <f t="shared" si="146"/>
        <v>0</v>
      </c>
      <c r="J149" s="3">
        <f t="shared" ref="J149:K149" si="155">D149+F149+H149</f>
        <v>0</v>
      </c>
      <c r="K149" s="3">
        <f t="shared" si="155"/>
        <v>0</v>
      </c>
      <c r="L149" s="6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" t="s">
        <v>21</v>
      </c>
      <c r="B150" s="3" t="s">
        <v>23</v>
      </c>
      <c r="C150" s="3">
        <v>149.0</v>
      </c>
      <c r="D150" s="5"/>
      <c r="E150" s="3">
        <f t="shared" si="144"/>
        <v>0</v>
      </c>
      <c r="F150" s="5"/>
      <c r="G150" s="3">
        <f t="shared" si="145"/>
        <v>0</v>
      </c>
      <c r="H150" s="5"/>
      <c r="I150" s="3">
        <f t="shared" si="146"/>
        <v>0</v>
      </c>
      <c r="J150" s="3">
        <f t="shared" ref="J150:K150" si="156">D150+F150+H150</f>
        <v>0</v>
      </c>
      <c r="K150" s="3">
        <f t="shared" si="156"/>
        <v>0</v>
      </c>
      <c r="L150" s="6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" t="s">
        <v>21</v>
      </c>
      <c r="B151" s="3" t="s">
        <v>14</v>
      </c>
      <c r="C151" s="3">
        <v>149.0</v>
      </c>
      <c r="D151" s="5"/>
      <c r="E151" s="3">
        <f t="shared" si="144"/>
        <v>0</v>
      </c>
      <c r="F151" s="5"/>
      <c r="G151" s="3">
        <f t="shared" si="145"/>
        <v>0</v>
      </c>
      <c r="H151" s="5"/>
      <c r="I151" s="3">
        <f t="shared" si="146"/>
        <v>0</v>
      </c>
      <c r="J151" s="3">
        <f t="shared" ref="J151:K151" si="157">D151+F151+H151</f>
        <v>0</v>
      </c>
      <c r="K151" s="3">
        <f t="shared" si="157"/>
        <v>0</v>
      </c>
      <c r="L151" s="6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" t="s">
        <v>21</v>
      </c>
      <c r="B152" s="3" t="s">
        <v>24</v>
      </c>
      <c r="C152" s="3">
        <v>149.0</v>
      </c>
      <c r="D152" s="7">
        <v>1.0</v>
      </c>
      <c r="E152" s="3">
        <f t="shared" si="144"/>
        <v>149</v>
      </c>
      <c r="F152" s="5"/>
      <c r="G152" s="3">
        <f t="shared" si="145"/>
        <v>0</v>
      </c>
      <c r="H152" s="5"/>
      <c r="I152" s="3">
        <f t="shared" si="146"/>
        <v>0</v>
      </c>
      <c r="J152" s="3">
        <f t="shared" ref="J152:K152" si="158">D152+F152+H152</f>
        <v>1</v>
      </c>
      <c r="K152" s="3">
        <f t="shared" si="158"/>
        <v>149</v>
      </c>
      <c r="L152" s="6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" t="s">
        <v>21</v>
      </c>
      <c r="B153" s="3" t="s">
        <v>25</v>
      </c>
      <c r="C153" s="3">
        <v>149.0</v>
      </c>
      <c r="D153" s="5"/>
      <c r="E153" s="3">
        <f t="shared" si="144"/>
        <v>0</v>
      </c>
      <c r="F153" s="5"/>
      <c r="G153" s="3">
        <f t="shared" si="145"/>
        <v>0</v>
      </c>
      <c r="H153" s="5"/>
      <c r="I153" s="3">
        <f t="shared" si="146"/>
        <v>0</v>
      </c>
      <c r="J153" s="3">
        <f t="shared" ref="J153:K153" si="159">D153+F153+H153</f>
        <v>0</v>
      </c>
      <c r="K153" s="3">
        <f t="shared" si="159"/>
        <v>0</v>
      </c>
      <c r="L153" s="6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" t="s">
        <v>21</v>
      </c>
      <c r="B154" s="3" t="s">
        <v>26</v>
      </c>
      <c r="C154" s="3">
        <v>149.0</v>
      </c>
      <c r="D154" s="5"/>
      <c r="E154" s="3">
        <f t="shared" si="144"/>
        <v>0</v>
      </c>
      <c r="F154" s="5"/>
      <c r="G154" s="3">
        <f t="shared" si="145"/>
        <v>0</v>
      </c>
      <c r="H154" s="5"/>
      <c r="I154" s="3">
        <f t="shared" si="146"/>
        <v>0</v>
      </c>
      <c r="J154" s="3">
        <f t="shared" ref="J154:K154" si="160">D154+F154+H154</f>
        <v>0</v>
      </c>
      <c r="K154" s="3">
        <f t="shared" si="160"/>
        <v>0</v>
      </c>
      <c r="L154" s="6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" t="s">
        <v>21</v>
      </c>
      <c r="B155" s="3" t="s">
        <v>27</v>
      </c>
      <c r="C155" s="3">
        <v>149.0</v>
      </c>
      <c r="D155" s="5"/>
      <c r="E155" s="3">
        <f t="shared" si="144"/>
        <v>0</v>
      </c>
      <c r="F155" s="5"/>
      <c r="G155" s="3">
        <f t="shared" si="145"/>
        <v>0</v>
      </c>
      <c r="H155" s="5"/>
      <c r="I155" s="3">
        <f t="shared" si="146"/>
        <v>0</v>
      </c>
      <c r="J155" s="3">
        <f t="shared" ref="J155:K155" si="161">D155+F155+H155</f>
        <v>0</v>
      </c>
      <c r="K155" s="3">
        <f t="shared" si="161"/>
        <v>0</v>
      </c>
      <c r="L155" s="6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" t="s">
        <v>21</v>
      </c>
      <c r="B156" s="3" t="s">
        <v>28</v>
      </c>
      <c r="C156" s="3">
        <v>149.0</v>
      </c>
      <c r="D156" s="5"/>
      <c r="E156" s="3">
        <f t="shared" si="144"/>
        <v>0</v>
      </c>
      <c r="F156" s="5"/>
      <c r="G156" s="3">
        <f t="shared" si="145"/>
        <v>0</v>
      </c>
      <c r="H156" s="5"/>
      <c r="I156" s="3">
        <f t="shared" si="146"/>
        <v>0</v>
      </c>
      <c r="J156" s="3">
        <f t="shared" ref="J156:K156" si="162">D156+F156+H156</f>
        <v>0</v>
      </c>
      <c r="K156" s="3">
        <f t="shared" si="162"/>
        <v>0</v>
      </c>
      <c r="L156" s="6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" t="s">
        <v>21</v>
      </c>
      <c r="B157" s="3" t="s">
        <v>29</v>
      </c>
      <c r="C157" s="3">
        <v>149.0</v>
      </c>
      <c r="D157" s="7">
        <v>1.0</v>
      </c>
      <c r="E157" s="3">
        <f t="shared" si="144"/>
        <v>149</v>
      </c>
      <c r="F157" s="5"/>
      <c r="G157" s="3">
        <f t="shared" si="145"/>
        <v>0</v>
      </c>
      <c r="H157" s="5"/>
      <c r="I157" s="3">
        <f t="shared" si="146"/>
        <v>0</v>
      </c>
      <c r="J157" s="3">
        <f t="shared" ref="J157:K157" si="163">D157+F157+H157</f>
        <v>1</v>
      </c>
      <c r="K157" s="3">
        <f t="shared" si="163"/>
        <v>149</v>
      </c>
      <c r="L157" s="6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" t="s">
        <v>21</v>
      </c>
      <c r="B158" s="3" t="s">
        <v>30</v>
      </c>
      <c r="C158" s="3">
        <v>149.0</v>
      </c>
      <c r="D158" s="5"/>
      <c r="E158" s="3">
        <f t="shared" si="144"/>
        <v>0</v>
      </c>
      <c r="F158" s="5"/>
      <c r="G158" s="3">
        <f t="shared" si="145"/>
        <v>0</v>
      </c>
      <c r="H158" s="5"/>
      <c r="I158" s="3">
        <f t="shared" si="146"/>
        <v>0</v>
      </c>
      <c r="J158" s="3">
        <f t="shared" ref="J158:K158" si="164">D158+F158+H158</f>
        <v>0</v>
      </c>
      <c r="K158" s="3">
        <f t="shared" si="164"/>
        <v>0</v>
      </c>
      <c r="L158" s="6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" t="s">
        <v>21</v>
      </c>
      <c r="B159" s="3" t="s">
        <v>31</v>
      </c>
      <c r="C159" s="3">
        <v>149.0</v>
      </c>
      <c r="D159" s="5"/>
      <c r="E159" s="3">
        <f t="shared" si="144"/>
        <v>0</v>
      </c>
      <c r="F159" s="5"/>
      <c r="G159" s="3">
        <f t="shared" si="145"/>
        <v>0</v>
      </c>
      <c r="H159" s="5"/>
      <c r="I159" s="3">
        <f t="shared" si="146"/>
        <v>0</v>
      </c>
      <c r="J159" s="3">
        <f t="shared" ref="J159:K159" si="165">D159+F159+H159</f>
        <v>0</v>
      </c>
      <c r="K159" s="3">
        <f t="shared" si="165"/>
        <v>0</v>
      </c>
      <c r="L159" s="6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" t="s">
        <v>21</v>
      </c>
      <c r="B160" s="3" t="s">
        <v>32</v>
      </c>
      <c r="C160" s="3">
        <v>149.0</v>
      </c>
      <c r="D160" s="5"/>
      <c r="E160" s="3">
        <f t="shared" si="144"/>
        <v>0</v>
      </c>
      <c r="F160" s="5"/>
      <c r="G160" s="3">
        <f t="shared" si="145"/>
        <v>0</v>
      </c>
      <c r="H160" s="5"/>
      <c r="I160" s="3">
        <f t="shared" si="146"/>
        <v>0</v>
      </c>
      <c r="J160" s="3">
        <f t="shared" ref="J160:K160" si="166">D160+F160+H160</f>
        <v>0</v>
      </c>
      <c r="K160" s="3">
        <f t="shared" si="166"/>
        <v>0</v>
      </c>
      <c r="L160" s="6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" t="s">
        <v>33</v>
      </c>
      <c r="B161" s="3" t="s">
        <v>34</v>
      </c>
      <c r="C161" s="3">
        <v>159.0</v>
      </c>
      <c r="D161" s="5"/>
      <c r="E161" s="3">
        <f t="shared" si="144"/>
        <v>0</v>
      </c>
      <c r="F161" s="5"/>
      <c r="G161" s="3">
        <f t="shared" si="145"/>
        <v>0</v>
      </c>
      <c r="H161" s="5"/>
      <c r="I161" s="3">
        <f t="shared" si="146"/>
        <v>0</v>
      </c>
      <c r="J161" s="3">
        <f t="shared" ref="J161:K161" si="167">D161+F161+H161</f>
        <v>0</v>
      </c>
      <c r="K161" s="3">
        <f t="shared" si="167"/>
        <v>0</v>
      </c>
      <c r="L161" s="6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" t="s">
        <v>33</v>
      </c>
      <c r="B162" s="3" t="s">
        <v>35</v>
      </c>
      <c r="C162" s="3">
        <v>159.0</v>
      </c>
      <c r="D162" s="7">
        <v>1.0</v>
      </c>
      <c r="E162" s="3">
        <f t="shared" si="144"/>
        <v>159</v>
      </c>
      <c r="F162" s="5"/>
      <c r="G162" s="3">
        <f t="shared" si="145"/>
        <v>0</v>
      </c>
      <c r="H162" s="5"/>
      <c r="I162" s="3">
        <f t="shared" si="146"/>
        <v>0</v>
      </c>
      <c r="J162" s="3">
        <f t="shared" ref="J162:K162" si="168">D162+F162+H162</f>
        <v>1</v>
      </c>
      <c r="K162" s="3">
        <f t="shared" si="168"/>
        <v>159</v>
      </c>
      <c r="L162" s="6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" t="s">
        <v>33</v>
      </c>
      <c r="B163" s="3" t="s">
        <v>36</v>
      </c>
      <c r="C163" s="3">
        <v>159.0</v>
      </c>
      <c r="D163" s="5"/>
      <c r="E163" s="3">
        <f t="shared" si="144"/>
        <v>0</v>
      </c>
      <c r="F163" s="5"/>
      <c r="G163" s="3">
        <f t="shared" si="145"/>
        <v>0</v>
      </c>
      <c r="H163" s="5"/>
      <c r="I163" s="3">
        <f t="shared" si="146"/>
        <v>0</v>
      </c>
      <c r="J163" s="3">
        <f t="shared" ref="J163:K163" si="169">D163+F163+H163</f>
        <v>0</v>
      </c>
      <c r="K163" s="3">
        <f t="shared" si="169"/>
        <v>0</v>
      </c>
      <c r="L163" s="6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" t="s">
        <v>33</v>
      </c>
      <c r="B164" s="3" t="s">
        <v>37</v>
      </c>
      <c r="C164" s="3">
        <v>159.0</v>
      </c>
      <c r="D164" s="5"/>
      <c r="E164" s="3">
        <f t="shared" si="144"/>
        <v>0</v>
      </c>
      <c r="F164" s="5"/>
      <c r="G164" s="3">
        <f t="shared" si="145"/>
        <v>0</v>
      </c>
      <c r="H164" s="5"/>
      <c r="I164" s="3">
        <f t="shared" si="146"/>
        <v>0</v>
      </c>
      <c r="J164" s="3">
        <f t="shared" ref="J164:K164" si="170">D164+F164+H164</f>
        <v>0</v>
      </c>
      <c r="K164" s="3">
        <f t="shared" si="170"/>
        <v>0</v>
      </c>
      <c r="L164" s="6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" t="s">
        <v>38</v>
      </c>
      <c r="B165" s="3" t="s">
        <v>31</v>
      </c>
      <c r="C165" s="3">
        <v>99.0</v>
      </c>
      <c r="D165" s="7">
        <v>1.0</v>
      </c>
      <c r="E165" s="3">
        <f t="shared" si="144"/>
        <v>99</v>
      </c>
      <c r="F165" s="5"/>
      <c r="G165" s="3">
        <f t="shared" si="145"/>
        <v>0</v>
      </c>
      <c r="H165" s="5"/>
      <c r="I165" s="3">
        <f t="shared" si="146"/>
        <v>0</v>
      </c>
      <c r="J165" s="3">
        <f t="shared" ref="J165:K165" si="171">D165+F165+H165</f>
        <v>1</v>
      </c>
      <c r="K165" s="3">
        <f t="shared" si="171"/>
        <v>99</v>
      </c>
      <c r="L165" s="6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" t="s">
        <v>38</v>
      </c>
      <c r="B166" s="3" t="s">
        <v>24</v>
      </c>
      <c r="C166" s="3">
        <v>99.0</v>
      </c>
      <c r="D166" s="5"/>
      <c r="E166" s="3">
        <f t="shared" si="144"/>
        <v>0</v>
      </c>
      <c r="F166" s="5"/>
      <c r="G166" s="3">
        <f t="shared" si="145"/>
        <v>0</v>
      </c>
      <c r="H166" s="5"/>
      <c r="I166" s="3">
        <f t="shared" si="146"/>
        <v>0</v>
      </c>
      <c r="J166" s="3">
        <f t="shared" ref="J166:K166" si="172">D166+F166+H166</f>
        <v>0</v>
      </c>
      <c r="K166" s="3">
        <f t="shared" si="172"/>
        <v>0</v>
      </c>
      <c r="L166" s="6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" t="s">
        <v>38</v>
      </c>
      <c r="B167" s="3" t="s">
        <v>39</v>
      </c>
      <c r="C167" s="3">
        <v>99.0</v>
      </c>
      <c r="D167" s="5"/>
      <c r="E167" s="3">
        <f t="shared" si="144"/>
        <v>0</v>
      </c>
      <c r="F167" s="5"/>
      <c r="G167" s="3">
        <f t="shared" si="145"/>
        <v>0</v>
      </c>
      <c r="H167" s="5"/>
      <c r="I167" s="3">
        <f t="shared" si="146"/>
        <v>0</v>
      </c>
      <c r="J167" s="3">
        <f t="shared" ref="J167:K167" si="173">D167+F167+H167</f>
        <v>0</v>
      </c>
      <c r="K167" s="3">
        <f t="shared" si="173"/>
        <v>0</v>
      </c>
      <c r="L167" s="6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" t="s">
        <v>38</v>
      </c>
      <c r="B168" s="3" t="s">
        <v>40</v>
      </c>
      <c r="C168" s="3">
        <v>99.0</v>
      </c>
      <c r="D168" s="5"/>
      <c r="E168" s="3">
        <f t="shared" si="144"/>
        <v>0</v>
      </c>
      <c r="F168" s="5"/>
      <c r="G168" s="3">
        <f t="shared" si="145"/>
        <v>0</v>
      </c>
      <c r="H168" s="5"/>
      <c r="I168" s="3">
        <f t="shared" si="146"/>
        <v>0</v>
      </c>
      <c r="J168" s="3">
        <f t="shared" ref="J168:K168" si="174">D168+F168+H168</f>
        <v>0</v>
      </c>
      <c r="K168" s="3">
        <f t="shared" si="174"/>
        <v>0</v>
      </c>
      <c r="L168" s="6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" t="s">
        <v>38</v>
      </c>
      <c r="B169" s="3" t="s">
        <v>41</v>
      </c>
      <c r="C169" s="3">
        <v>99.0</v>
      </c>
      <c r="D169" s="5"/>
      <c r="E169" s="3">
        <f t="shared" si="144"/>
        <v>0</v>
      </c>
      <c r="F169" s="5"/>
      <c r="G169" s="3">
        <f t="shared" si="145"/>
        <v>0</v>
      </c>
      <c r="H169" s="5"/>
      <c r="I169" s="3">
        <f t="shared" si="146"/>
        <v>0</v>
      </c>
      <c r="J169" s="3">
        <f t="shared" ref="J169:K169" si="175">D169+F169+H169</f>
        <v>0</v>
      </c>
      <c r="K169" s="3">
        <f t="shared" si="175"/>
        <v>0</v>
      </c>
      <c r="L169" s="6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" t="s">
        <v>42</v>
      </c>
      <c r="B170" s="3" t="s">
        <v>43</v>
      </c>
      <c r="C170" s="3">
        <v>149.0</v>
      </c>
      <c r="D170" s="5"/>
      <c r="E170" s="3">
        <f t="shared" si="144"/>
        <v>0</v>
      </c>
      <c r="F170" s="5"/>
      <c r="G170" s="3">
        <f t="shared" si="145"/>
        <v>0</v>
      </c>
      <c r="H170" s="5"/>
      <c r="I170" s="3">
        <f t="shared" si="146"/>
        <v>0</v>
      </c>
      <c r="J170" s="3">
        <f t="shared" ref="J170:K170" si="176">D170+F170+H170</f>
        <v>0</v>
      </c>
      <c r="K170" s="3">
        <f t="shared" si="176"/>
        <v>0</v>
      </c>
      <c r="L170" s="6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" t="s">
        <v>42</v>
      </c>
      <c r="B171" s="3" t="s">
        <v>44</v>
      </c>
      <c r="C171" s="3">
        <v>149.0</v>
      </c>
      <c r="D171" s="5"/>
      <c r="E171" s="3">
        <f t="shared" si="144"/>
        <v>0</v>
      </c>
      <c r="F171" s="5"/>
      <c r="G171" s="3">
        <f t="shared" si="145"/>
        <v>0</v>
      </c>
      <c r="H171" s="5"/>
      <c r="I171" s="3">
        <f t="shared" si="146"/>
        <v>0</v>
      </c>
      <c r="J171" s="3">
        <f t="shared" ref="J171:K171" si="177">D171+F171+H171</f>
        <v>0</v>
      </c>
      <c r="K171" s="3">
        <f t="shared" si="177"/>
        <v>0</v>
      </c>
      <c r="L171" s="6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" t="s">
        <v>42</v>
      </c>
      <c r="B172" s="3" t="s">
        <v>45</v>
      </c>
      <c r="C172" s="3">
        <v>149.0</v>
      </c>
      <c r="D172" s="5"/>
      <c r="E172" s="3">
        <f t="shared" si="144"/>
        <v>0</v>
      </c>
      <c r="F172" s="5"/>
      <c r="G172" s="3">
        <f t="shared" si="145"/>
        <v>0</v>
      </c>
      <c r="H172" s="5"/>
      <c r="I172" s="3">
        <f t="shared" si="146"/>
        <v>0</v>
      </c>
      <c r="J172" s="3">
        <f t="shared" ref="J172:K172" si="178">D172+F172+H172</f>
        <v>0</v>
      </c>
      <c r="K172" s="3">
        <f t="shared" si="178"/>
        <v>0</v>
      </c>
      <c r="L172" s="6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" t="s">
        <v>42</v>
      </c>
      <c r="B173" s="3" t="s">
        <v>46</v>
      </c>
      <c r="C173" s="3">
        <v>149.0</v>
      </c>
      <c r="D173" s="5"/>
      <c r="E173" s="3">
        <f t="shared" si="144"/>
        <v>0</v>
      </c>
      <c r="F173" s="5"/>
      <c r="G173" s="3">
        <f t="shared" si="145"/>
        <v>0</v>
      </c>
      <c r="H173" s="5"/>
      <c r="I173" s="3">
        <f t="shared" si="146"/>
        <v>0</v>
      </c>
      <c r="J173" s="3">
        <f t="shared" ref="J173:K173" si="179">D173+F173+H173</f>
        <v>0</v>
      </c>
      <c r="K173" s="3">
        <f t="shared" si="179"/>
        <v>0</v>
      </c>
      <c r="L173" s="6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" t="s">
        <v>47</v>
      </c>
      <c r="B174" s="3" t="s">
        <v>48</v>
      </c>
      <c r="C174" s="3">
        <v>25.0</v>
      </c>
      <c r="D174" s="7">
        <v>2.0</v>
      </c>
      <c r="E174" s="3">
        <f t="shared" si="144"/>
        <v>50</v>
      </c>
      <c r="F174" s="5"/>
      <c r="G174" s="3">
        <f t="shared" si="145"/>
        <v>0</v>
      </c>
      <c r="H174" s="5"/>
      <c r="I174" s="3">
        <f t="shared" si="146"/>
        <v>0</v>
      </c>
      <c r="J174" s="3">
        <f t="shared" ref="J174:K174" si="180">D174+F174+H174</f>
        <v>2</v>
      </c>
      <c r="K174" s="3">
        <f t="shared" si="180"/>
        <v>50</v>
      </c>
      <c r="L174" s="6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" t="s">
        <v>47</v>
      </c>
      <c r="B175" s="3" t="s">
        <v>49</v>
      </c>
      <c r="C175" s="3">
        <v>20.0</v>
      </c>
      <c r="D175" s="5"/>
      <c r="E175" s="3">
        <f t="shared" si="144"/>
        <v>0</v>
      </c>
      <c r="F175" s="5"/>
      <c r="G175" s="3">
        <f t="shared" si="145"/>
        <v>0</v>
      </c>
      <c r="H175" s="5"/>
      <c r="I175" s="3">
        <f t="shared" si="146"/>
        <v>0</v>
      </c>
      <c r="J175" s="3">
        <f t="shared" ref="J175:K175" si="181">D175+F175+H175</f>
        <v>0</v>
      </c>
      <c r="K175" s="3">
        <f t="shared" si="181"/>
        <v>0</v>
      </c>
      <c r="L175" s="6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" t="s">
        <v>47</v>
      </c>
      <c r="B176" s="3" t="s">
        <v>50</v>
      </c>
      <c r="C176" s="3">
        <v>20.0</v>
      </c>
      <c r="D176" s="5"/>
      <c r="E176" s="3">
        <f t="shared" si="144"/>
        <v>0</v>
      </c>
      <c r="F176" s="5"/>
      <c r="G176" s="3">
        <f t="shared" si="145"/>
        <v>0</v>
      </c>
      <c r="H176" s="5"/>
      <c r="I176" s="3">
        <f t="shared" si="146"/>
        <v>0</v>
      </c>
      <c r="J176" s="3">
        <f t="shared" ref="J176:K176" si="182">D176+F176+H176</f>
        <v>0</v>
      </c>
      <c r="K176" s="3">
        <f t="shared" si="182"/>
        <v>0</v>
      </c>
      <c r="L176" s="6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" t="s">
        <v>47</v>
      </c>
      <c r="B177" s="3" t="s">
        <v>51</v>
      </c>
      <c r="C177" s="3">
        <v>20.0</v>
      </c>
      <c r="D177" s="5"/>
      <c r="E177" s="3">
        <f t="shared" si="144"/>
        <v>0</v>
      </c>
      <c r="F177" s="5"/>
      <c r="G177" s="3">
        <f t="shared" si="145"/>
        <v>0</v>
      </c>
      <c r="H177" s="5"/>
      <c r="I177" s="3">
        <f t="shared" si="146"/>
        <v>0</v>
      </c>
      <c r="J177" s="3">
        <f t="shared" ref="J177:K177" si="183">D177+F177+H177</f>
        <v>0</v>
      </c>
      <c r="K177" s="3">
        <f t="shared" si="183"/>
        <v>0</v>
      </c>
      <c r="L177" s="6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" t="s">
        <v>47</v>
      </c>
      <c r="B178" s="3" t="s">
        <v>52</v>
      </c>
      <c r="C178" s="3">
        <v>25.0</v>
      </c>
      <c r="D178" s="5"/>
      <c r="E178" s="3">
        <f t="shared" si="144"/>
        <v>0</v>
      </c>
      <c r="F178" s="5"/>
      <c r="G178" s="3">
        <f t="shared" si="145"/>
        <v>0</v>
      </c>
      <c r="H178" s="5"/>
      <c r="I178" s="3">
        <f t="shared" si="146"/>
        <v>0</v>
      </c>
      <c r="J178" s="3">
        <f t="shared" ref="J178:K178" si="184">D178+F178+H178</f>
        <v>0</v>
      </c>
      <c r="K178" s="3">
        <f t="shared" si="184"/>
        <v>0</v>
      </c>
      <c r="L178" s="6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" t="s">
        <v>47</v>
      </c>
      <c r="B179" s="3" t="s">
        <v>53</v>
      </c>
      <c r="C179" s="3">
        <v>20.0</v>
      </c>
      <c r="D179" s="5"/>
      <c r="E179" s="3">
        <f t="shared" si="144"/>
        <v>0</v>
      </c>
      <c r="F179" s="5"/>
      <c r="G179" s="3">
        <f t="shared" si="145"/>
        <v>0</v>
      </c>
      <c r="H179" s="5"/>
      <c r="I179" s="3">
        <f t="shared" si="146"/>
        <v>0</v>
      </c>
      <c r="J179" s="3">
        <f t="shared" ref="J179:K179" si="185">D179+F179+H179</f>
        <v>0</v>
      </c>
      <c r="K179" s="3">
        <f t="shared" si="185"/>
        <v>0</v>
      </c>
      <c r="L179" s="6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" t="s">
        <v>54</v>
      </c>
      <c r="B180" s="3" t="s">
        <v>55</v>
      </c>
      <c r="C180" s="3">
        <v>149.0</v>
      </c>
      <c r="D180" s="7">
        <v>2.0</v>
      </c>
      <c r="E180" s="3">
        <f t="shared" si="144"/>
        <v>298</v>
      </c>
      <c r="F180" s="5"/>
      <c r="G180" s="3">
        <f t="shared" si="145"/>
        <v>0</v>
      </c>
      <c r="H180" s="5"/>
      <c r="I180" s="3">
        <f t="shared" si="146"/>
        <v>0</v>
      </c>
      <c r="J180" s="3">
        <f t="shared" ref="J180:K180" si="186">D180+F180+H180</f>
        <v>2</v>
      </c>
      <c r="K180" s="3">
        <f t="shared" si="186"/>
        <v>298</v>
      </c>
      <c r="L180" s="6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" t="s">
        <v>54</v>
      </c>
      <c r="B181" s="3" t="s">
        <v>56</v>
      </c>
      <c r="C181" s="3">
        <v>149.0</v>
      </c>
      <c r="D181" s="5"/>
      <c r="E181" s="3">
        <f t="shared" si="144"/>
        <v>0</v>
      </c>
      <c r="F181" s="5"/>
      <c r="G181" s="3">
        <f t="shared" si="145"/>
        <v>0</v>
      </c>
      <c r="H181" s="5"/>
      <c r="I181" s="3">
        <f t="shared" si="146"/>
        <v>0</v>
      </c>
      <c r="J181" s="3">
        <f t="shared" ref="J181:K181" si="187">D181+F181+H181</f>
        <v>0</v>
      </c>
      <c r="K181" s="3">
        <f t="shared" si="187"/>
        <v>0</v>
      </c>
      <c r="L181" s="6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" t="s">
        <v>54</v>
      </c>
      <c r="B182" s="3" t="s">
        <v>57</v>
      </c>
      <c r="C182" s="3">
        <v>149.0</v>
      </c>
      <c r="D182" s="5"/>
      <c r="E182" s="3">
        <f t="shared" si="144"/>
        <v>0</v>
      </c>
      <c r="F182" s="5"/>
      <c r="G182" s="3">
        <f t="shared" si="145"/>
        <v>0</v>
      </c>
      <c r="H182" s="5"/>
      <c r="I182" s="3">
        <f t="shared" si="146"/>
        <v>0</v>
      </c>
      <c r="J182" s="3">
        <f t="shared" ref="J182:K182" si="188">D182+F182+H182</f>
        <v>0</v>
      </c>
      <c r="K182" s="3">
        <f t="shared" si="188"/>
        <v>0</v>
      </c>
      <c r="L182" s="6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8" t="s">
        <v>58</v>
      </c>
      <c r="B183" s="9"/>
      <c r="C183" s="9"/>
      <c r="D183" s="9"/>
      <c r="E183" s="8">
        <f>SUM(E140:E182)</f>
        <v>1391</v>
      </c>
      <c r="F183" s="9"/>
      <c r="G183" s="8">
        <f>SUM(G140:G182)</f>
        <v>0</v>
      </c>
      <c r="H183" s="9"/>
      <c r="I183" s="8">
        <f t="shared" ref="I183:K183" si="189">SUM(I140:I182)</f>
        <v>378</v>
      </c>
      <c r="J183" s="8">
        <f t="shared" si="189"/>
        <v>13</v>
      </c>
      <c r="K183" s="8">
        <f t="shared" si="189"/>
        <v>1769</v>
      </c>
      <c r="L183" s="12">
        <v>46004.0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" t="s">
        <v>0</v>
      </c>
      <c r="B185" s="1" t="s">
        <v>1</v>
      </c>
      <c r="C185" s="1" t="s">
        <v>2</v>
      </c>
      <c r="D185" s="2" t="s">
        <v>3</v>
      </c>
      <c r="E185" s="1" t="s">
        <v>4</v>
      </c>
      <c r="F185" s="2" t="s">
        <v>5</v>
      </c>
      <c r="G185" s="1" t="s">
        <v>6</v>
      </c>
      <c r="H185" s="2" t="s">
        <v>7</v>
      </c>
      <c r="I185" s="1" t="s">
        <v>8</v>
      </c>
      <c r="J185" s="1" t="s">
        <v>9</v>
      </c>
      <c r="K185" s="1" t="s">
        <v>10</v>
      </c>
      <c r="L185" s="3" t="s">
        <v>11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" t="s">
        <v>12</v>
      </c>
      <c r="B186" s="3" t="s">
        <v>13</v>
      </c>
      <c r="C186" s="3">
        <v>189.0</v>
      </c>
      <c r="D186" s="7">
        <v>0.0</v>
      </c>
      <c r="E186" s="3">
        <f t="shared" ref="E186:E228" si="191">C186*D186</f>
        <v>0</v>
      </c>
      <c r="F186" s="7">
        <v>0.0</v>
      </c>
      <c r="G186" s="4">
        <f t="shared" ref="G186:G228" si="192">C186*F186</f>
        <v>0</v>
      </c>
      <c r="H186" s="7">
        <v>0.0</v>
      </c>
      <c r="I186" s="3">
        <f t="shared" ref="I186:I228" si="193">C186*H186</f>
        <v>0</v>
      </c>
      <c r="J186" s="3">
        <f t="shared" ref="J186:K186" si="190">D186+F186+H186</f>
        <v>0</v>
      </c>
      <c r="K186" s="3">
        <f t="shared" si="190"/>
        <v>0</v>
      </c>
      <c r="L186" s="6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" t="s">
        <v>12</v>
      </c>
      <c r="B187" s="3" t="s">
        <v>14</v>
      </c>
      <c r="C187" s="3">
        <v>189.0</v>
      </c>
      <c r="D187" s="7">
        <v>0.0</v>
      </c>
      <c r="E187" s="3">
        <f t="shared" si="191"/>
        <v>0</v>
      </c>
      <c r="F187" s="7">
        <v>0.0</v>
      </c>
      <c r="G187" s="3">
        <f t="shared" si="192"/>
        <v>0</v>
      </c>
      <c r="H187" s="7">
        <v>0.0</v>
      </c>
      <c r="I187" s="3">
        <f t="shared" si="193"/>
        <v>0</v>
      </c>
      <c r="J187" s="3">
        <f t="shared" ref="J187:K187" si="194">D187+F187+H187</f>
        <v>0</v>
      </c>
      <c r="K187" s="3">
        <f t="shared" si="194"/>
        <v>0</v>
      </c>
      <c r="L187" s="6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" t="s">
        <v>12</v>
      </c>
      <c r="B188" s="3" t="s">
        <v>15</v>
      </c>
      <c r="C188" s="3">
        <v>189.0</v>
      </c>
      <c r="D188" s="7">
        <v>0.0</v>
      </c>
      <c r="E188" s="3">
        <f t="shared" si="191"/>
        <v>0</v>
      </c>
      <c r="F188" s="7">
        <v>0.0</v>
      </c>
      <c r="G188" s="3">
        <f t="shared" si="192"/>
        <v>0</v>
      </c>
      <c r="H188" s="7">
        <v>0.0</v>
      </c>
      <c r="I188" s="3">
        <f t="shared" si="193"/>
        <v>0</v>
      </c>
      <c r="J188" s="3">
        <f t="shared" ref="J188:K188" si="195">D188+F188+H188</f>
        <v>0</v>
      </c>
      <c r="K188" s="3">
        <f t="shared" si="195"/>
        <v>0</v>
      </c>
      <c r="L188" s="6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" t="s">
        <v>12</v>
      </c>
      <c r="B189" s="3" t="s">
        <v>16</v>
      </c>
      <c r="C189" s="3">
        <v>189.0</v>
      </c>
      <c r="D189" s="7">
        <v>0.0</v>
      </c>
      <c r="E189" s="3">
        <f t="shared" si="191"/>
        <v>0</v>
      </c>
      <c r="F189" s="7">
        <v>0.0</v>
      </c>
      <c r="G189" s="3">
        <f t="shared" si="192"/>
        <v>0</v>
      </c>
      <c r="H189" s="7">
        <v>0.0</v>
      </c>
      <c r="I189" s="3">
        <f t="shared" si="193"/>
        <v>0</v>
      </c>
      <c r="J189" s="3">
        <f t="shared" ref="J189:K189" si="196">D189+F189+H189</f>
        <v>0</v>
      </c>
      <c r="K189" s="3">
        <f t="shared" si="196"/>
        <v>0</v>
      </c>
      <c r="L189" s="6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" t="s">
        <v>12</v>
      </c>
      <c r="B190" s="3" t="s">
        <v>17</v>
      </c>
      <c r="C190" s="3">
        <v>189.0</v>
      </c>
      <c r="D190" s="7">
        <v>0.0</v>
      </c>
      <c r="E190" s="3">
        <f t="shared" si="191"/>
        <v>0</v>
      </c>
      <c r="F190" s="7">
        <v>0.0</v>
      </c>
      <c r="G190" s="3">
        <f t="shared" si="192"/>
        <v>0</v>
      </c>
      <c r="H190" s="7">
        <v>0.0</v>
      </c>
      <c r="I190" s="3">
        <f t="shared" si="193"/>
        <v>0</v>
      </c>
      <c r="J190" s="3">
        <f t="shared" ref="J190:K190" si="197">D190+F190+H190</f>
        <v>0</v>
      </c>
      <c r="K190" s="3">
        <f t="shared" si="197"/>
        <v>0</v>
      </c>
      <c r="L190" s="6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" t="s">
        <v>12</v>
      </c>
      <c r="B191" s="3" t="s">
        <v>18</v>
      </c>
      <c r="C191" s="3">
        <v>189.0</v>
      </c>
      <c r="D191" s="7">
        <v>0.0</v>
      </c>
      <c r="E191" s="3">
        <f t="shared" si="191"/>
        <v>0</v>
      </c>
      <c r="F191" s="7">
        <v>0.0</v>
      </c>
      <c r="G191" s="3">
        <f t="shared" si="192"/>
        <v>0</v>
      </c>
      <c r="H191" s="7">
        <v>0.0</v>
      </c>
      <c r="I191" s="3">
        <f t="shared" si="193"/>
        <v>0</v>
      </c>
      <c r="J191" s="3">
        <f t="shared" ref="J191:K191" si="198">D191+F191+H191</f>
        <v>0</v>
      </c>
      <c r="K191" s="3">
        <f t="shared" si="198"/>
        <v>0</v>
      </c>
      <c r="L191" s="6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" t="s">
        <v>12</v>
      </c>
      <c r="B192" s="3" t="s">
        <v>19</v>
      </c>
      <c r="C192" s="3">
        <v>189.0</v>
      </c>
      <c r="D192" s="7">
        <v>0.0</v>
      </c>
      <c r="E192" s="3">
        <f t="shared" si="191"/>
        <v>0</v>
      </c>
      <c r="F192" s="7">
        <v>0.0</v>
      </c>
      <c r="G192" s="3">
        <f t="shared" si="192"/>
        <v>0</v>
      </c>
      <c r="H192" s="7">
        <v>0.0</v>
      </c>
      <c r="I192" s="3">
        <f t="shared" si="193"/>
        <v>0</v>
      </c>
      <c r="J192" s="3">
        <f t="shared" ref="J192:K192" si="199">D192+F192+H192</f>
        <v>0</v>
      </c>
      <c r="K192" s="3">
        <f t="shared" si="199"/>
        <v>0</v>
      </c>
      <c r="L192" s="6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" t="s">
        <v>12</v>
      </c>
      <c r="B193" s="3" t="s">
        <v>20</v>
      </c>
      <c r="C193" s="3">
        <v>189.0</v>
      </c>
      <c r="D193" s="7">
        <v>0.0</v>
      </c>
      <c r="E193" s="3">
        <f t="shared" si="191"/>
        <v>0</v>
      </c>
      <c r="F193" s="7">
        <v>0.0</v>
      </c>
      <c r="G193" s="3">
        <f t="shared" si="192"/>
        <v>0</v>
      </c>
      <c r="H193" s="7">
        <v>0.0</v>
      </c>
      <c r="I193" s="3">
        <f t="shared" si="193"/>
        <v>0</v>
      </c>
      <c r="J193" s="3">
        <f t="shared" ref="J193:K193" si="200">D193+F193+H193</f>
        <v>0</v>
      </c>
      <c r="K193" s="3">
        <f t="shared" si="200"/>
        <v>0</v>
      </c>
      <c r="L193" s="6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" t="s">
        <v>21</v>
      </c>
      <c r="B194" s="3" t="s">
        <v>20</v>
      </c>
      <c r="C194" s="3">
        <v>149.0</v>
      </c>
      <c r="D194" s="7">
        <v>0.0</v>
      </c>
      <c r="E194" s="3">
        <f t="shared" si="191"/>
        <v>0</v>
      </c>
      <c r="F194" s="7">
        <v>0.0</v>
      </c>
      <c r="G194" s="3">
        <f t="shared" si="192"/>
        <v>0</v>
      </c>
      <c r="H194" s="7">
        <v>0.0</v>
      </c>
      <c r="I194" s="3">
        <f t="shared" si="193"/>
        <v>0</v>
      </c>
      <c r="J194" s="3">
        <f t="shared" ref="J194:K194" si="201">D194+F194+H194</f>
        <v>0</v>
      </c>
      <c r="K194" s="3">
        <f t="shared" si="201"/>
        <v>0</v>
      </c>
      <c r="L194" s="6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" t="s">
        <v>21</v>
      </c>
      <c r="B195" s="3" t="s">
        <v>22</v>
      </c>
      <c r="C195" s="3">
        <v>149.0</v>
      </c>
      <c r="D195" s="7">
        <v>0.0</v>
      </c>
      <c r="E195" s="3">
        <f t="shared" si="191"/>
        <v>0</v>
      </c>
      <c r="F195" s="7">
        <v>0.0</v>
      </c>
      <c r="G195" s="3">
        <f t="shared" si="192"/>
        <v>0</v>
      </c>
      <c r="H195" s="7">
        <v>0.0</v>
      </c>
      <c r="I195" s="3">
        <f t="shared" si="193"/>
        <v>0</v>
      </c>
      <c r="J195" s="3">
        <f t="shared" ref="J195:K195" si="202">D195+F195+H195</f>
        <v>0</v>
      </c>
      <c r="K195" s="3">
        <f t="shared" si="202"/>
        <v>0</v>
      </c>
      <c r="L195" s="6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" t="s">
        <v>21</v>
      </c>
      <c r="B196" s="3" t="s">
        <v>23</v>
      </c>
      <c r="C196" s="3">
        <v>149.0</v>
      </c>
      <c r="D196" s="7">
        <v>0.0</v>
      </c>
      <c r="E196" s="3">
        <f t="shared" si="191"/>
        <v>0</v>
      </c>
      <c r="F196" s="7">
        <v>0.0</v>
      </c>
      <c r="G196" s="3">
        <f t="shared" si="192"/>
        <v>0</v>
      </c>
      <c r="H196" s="7">
        <v>0.0</v>
      </c>
      <c r="I196" s="3">
        <f t="shared" si="193"/>
        <v>0</v>
      </c>
      <c r="J196" s="3">
        <f t="shared" ref="J196:K196" si="203">D196+F196+H196</f>
        <v>0</v>
      </c>
      <c r="K196" s="3">
        <f t="shared" si="203"/>
        <v>0</v>
      </c>
      <c r="L196" s="6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" t="s">
        <v>21</v>
      </c>
      <c r="B197" s="3" t="s">
        <v>14</v>
      </c>
      <c r="C197" s="3">
        <v>149.0</v>
      </c>
      <c r="D197" s="7">
        <v>0.0</v>
      </c>
      <c r="E197" s="3">
        <f t="shared" si="191"/>
        <v>0</v>
      </c>
      <c r="F197" s="7">
        <v>0.0</v>
      </c>
      <c r="G197" s="3">
        <f t="shared" si="192"/>
        <v>0</v>
      </c>
      <c r="H197" s="7">
        <v>0.0</v>
      </c>
      <c r="I197" s="3">
        <f t="shared" si="193"/>
        <v>0</v>
      </c>
      <c r="J197" s="3">
        <f t="shared" ref="J197:K197" si="204">D197+F197+H197</f>
        <v>0</v>
      </c>
      <c r="K197" s="3">
        <f t="shared" si="204"/>
        <v>0</v>
      </c>
      <c r="L197" s="6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" t="s">
        <v>21</v>
      </c>
      <c r="B198" s="3" t="s">
        <v>24</v>
      </c>
      <c r="C198" s="3">
        <v>149.0</v>
      </c>
      <c r="D198" s="7">
        <v>0.0</v>
      </c>
      <c r="E198" s="3">
        <f t="shared" si="191"/>
        <v>0</v>
      </c>
      <c r="F198" s="7">
        <v>0.0</v>
      </c>
      <c r="G198" s="3">
        <f t="shared" si="192"/>
        <v>0</v>
      </c>
      <c r="H198" s="7">
        <v>0.0</v>
      </c>
      <c r="I198" s="3">
        <f t="shared" si="193"/>
        <v>0</v>
      </c>
      <c r="J198" s="3">
        <f t="shared" ref="J198:K198" si="205">D198+F198+H198</f>
        <v>0</v>
      </c>
      <c r="K198" s="3">
        <f t="shared" si="205"/>
        <v>0</v>
      </c>
      <c r="L198" s="6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" t="s">
        <v>21</v>
      </c>
      <c r="B199" s="3" t="s">
        <v>25</v>
      </c>
      <c r="C199" s="3">
        <v>149.0</v>
      </c>
      <c r="D199" s="7">
        <v>0.0</v>
      </c>
      <c r="E199" s="3">
        <f t="shared" si="191"/>
        <v>0</v>
      </c>
      <c r="F199" s="7">
        <v>0.0</v>
      </c>
      <c r="G199" s="3">
        <f t="shared" si="192"/>
        <v>0</v>
      </c>
      <c r="H199" s="7">
        <v>0.0</v>
      </c>
      <c r="I199" s="3">
        <f t="shared" si="193"/>
        <v>0</v>
      </c>
      <c r="J199" s="3">
        <f t="shared" ref="J199:K199" si="206">D199+F199+H199</f>
        <v>0</v>
      </c>
      <c r="K199" s="3">
        <f t="shared" si="206"/>
        <v>0</v>
      </c>
      <c r="L199" s="6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" t="s">
        <v>21</v>
      </c>
      <c r="B200" s="3" t="s">
        <v>26</v>
      </c>
      <c r="C200" s="3">
        <v>149.0</v>
      </c>
      <c r="D200" s="7">
        <v>0.0</v>
      </c>
      <c r="E200" s="3">
        <f t="shared" si="191"/>
        <v>0</v>
      </c>
      <c r="F200" s="7">
        <v>0.0</v>
      </c>
      <c r="G200" s="3">
        <f t="shared" si="192"/>
        <v>0</v>
      </c>
      <c r="H200" s="7">
        <v>0.0</v>
      </c>
      <c r="I200" s="3">
        <f t="shared" si="193"/>
        <v>0</v>
      </c>
      <c r="J200" s="3">
        <f t="shared" ref="J200:K200" si="207">D200+F200+H200</f>
        <v>0</v>
      </c>
      <c r="K200" s="3">
        <f t="shared" si="207"/>
        <v>0</v>
      </c>
      <c r="L200" s="6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" t="s">
        <v>21</v>
      </c>
      <c r="B201" s="3" t="s">
        <v>27</v>
      </c>
      <c r="C201" s="3">
        <v>149.0</v>
      </c>
      <c r="D201" s="7">
        <v>0.0</v>
      </c>
      <c r="E201" s="3">
        <f t="shared" si="191"/>
        <v>0</v>
      </c>
      <c r="F201" s="7">
        <v>0.0</v>
      </c>
      <c r="G201" s="3">
        <f t="shared" si="192"/>
        <v>0</v>
      </c>
      <c r="H201" s="7">
        <v>0.0</v>
      </c>
      <c r="I201" s="3">
        <f t="shared" si="193"/>
        <v>0</v>
      </c>
      <c r="J201" s="3">
        <f t="shared" ref="J201:K201" si="208">D201+F201+H201</f>
        <v>0</v>
      </c>
      <c r="K201" s="3">
        <f t="shared" si="208"/>
        <v>0</v>
      </c>
      <c r="L201" s="6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" t="s">
        <v>21</v>
      </c>
      <c r="B202" s="3" t="s">
        <v>28</v>
      </c>
      <c r="C202" s="3">
        <v>149.0</v>
      </c>
      <c r="D202" s="7">
        <v>0.0</v>
      </c>
      <c r="E202" s="3">
        <f t="shared" si="191"/>
        <v>0</v>
      </c>
      <c r="F202" s="7">
        <v>0.0</v>
      </c>
      <c r="G202" s="3">
        <f t="shared" si="192"/>
        <v>0</v>
      </c>
      <c r="H202" s="7">
        <v>0.0</v>
      </c>
      <c r="I202" s="3">
        <f t="shared" si="193"/>
        <v>0</v>
      </c>
      <c r="J202" s="3">
        <f t="shared" ref="J202:K202" si="209">D202+F202+H202</f>
        <v>0</v>
      </c>
      <c r="K202" s="3">
        <f t="shared" si="209"/>
        <v>0</v>
      </c>
      <c r="L202" s="6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" t="s">
        <v>21</v>
      </c>
      <c r="B203" s="3" t="s">
        <v>29</v>
      </c>
      <c r="C203" s="3">
        <v>149.0</v>
      </c>
      <c r="D203" s="7">
        <v>0.0</v>
      </c>
      <c r="E203" s="3">
        <f t="shared" si="191"/>
        <v>0</v>
      </c>
      <c r="F203" s="7">
        <v>0.0</v>
      </c>
      <c r="G203" s="3">
        <f t="shared" si="192"/>
        <v>0</v>
      </c>
      <c r="H203" s="7">
        <v>0.0</v>
      </c>
      <c r="I203" s="3">
        <f t="shared" si="193"/>
        <v>0</v>
      </c>
      <c r="J203" s="3">
        <f t="shared" ref="J203:K203" si="210">D203+F203+H203</f>
        <v>0</v>
      </c>
      <c r="K203" s="3">
        <f t="shared" si="210"/>
        <v>0</v>
      </c>
      <c r="L203" s="6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" t="s">
        <v>21</v>
      </c>
      <c r="B204" s="3" t="s">
        <v>30</v>
      </c>
      <c r="C204" s="3">
        <v>149.0</v>
      </c>
      <c r="D204" s="7">
        <v>0.0</v>
      </c>
      <c r="E204" s="3">
        <f t="shared" si="191"/>
        <v>0</v>
      </c>
      <c r="F204" s="7">
        <v>0.0</v>
      </c>
      <c r="G204" s="3">
        <f t="shared" si="192"/>
        <v>0</v>
      </c>
      <c r="H204" s="7">
        <v>0.0</v>
      </c>
      <c r="I204" s="3">
        <f t="shared" si="193"/>
        <v>0</v>
      </c>
      <c r="J204" s="3">
        <f t="shared" ref="J204:K204" si="211">D204+F204+H204</f>
        <v>0</v>
      </c>
      <c r="K204" s="3">
        <f t="shared" si="211"/>
        <v>0</v>
      </c>
      <c r="L204" s="6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" t="s">
        <v>21</v>
      </c>
      <c r="B205" s="3" t="s">
        <v>31</v>
      </c>
      <c r="C205" s="3">
        <v>149.0</v>
      </c>
      <c r="D205" s="7">
        <v>0.0</v>
      </c>
      <c r="E205" s="3">
        <f t="shared" si="191"/>
        <v>0</v>
      </c>
      <c r="F205" s="7">
        <v>0.0</v>
      </c>
      <c r="G205" s="3">
        <f t="shared" si="192"/>
        <v>0</v>
      </c>
      <c r="H205" s="7">
        <v>0.0</v>
      </c>
      <c r="I205" s="3">
        <f t="shared" si="193"/>
        <v>0</v>
      </c>
      <c r="J205" s="3">
        <f t="shared" ref="J205:K205" si="212">D205+F205+H205</f>
        <v>0</v>
      </c>
      <c r="K205" s="3">
        <f t="shared" si="212"/>
        <v>0</v>
      </c>
      <c r="L205" s="6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" t="s">
        <v>21</v>
      </c>
      <c r="B206" s="3" t="s">
        <v>32</v>
      </c>
      <c r="C206" s="3">
        <v>149.0</v>
      </c>
      <c r="D206" s="7">
        <v>0.0</v>
      </c>
      <c r="E206" s="3">
        <f t="shared" si="191"/>
        <v>0</v>
      </c>
      <c r="F206" s="7">
        <v>0.0</v>
      </c>
      <c r="G206" s="3">
        <f t="shared" si="192"/>
        <v>0</v>
      </c>
      <c r="H206" s="7">
        <v>0.0</v>
      </c>
      <c r="I206" s="3">
        <f t="shared" si="193"/>
        <v>0</v>
      </c>
      <c r="J206" s="3">
        <f t="shared" ref="J206:K206" si="213">D206+F206+H206</f>
        <v>0</v>
      </c>
      <c r="K206" s="3">
        <f t="shared" si="213"/>
        <v>0</v>
      </c>
      <c r="L206" s="6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" t="s">
        <v>33</v>
      </c>
      <c r="B207" s="3" t="s">
        <v>34</v>
      </c>
      <c r="C207" s="3">
        <v>159.0</v>
      </c>
      <c r="D207" s="7">
        <v>0.0</v>
      </c>
      <c r="E207" s="3">
        <f t="shared" si="191"/>
        <v>0</v>
      </c>
      <c r="F207" s="7">
        <v>0.0</v>
      </c>
      <c r="G207" s="3">
        <f t="shared" si="192"/>
        <v>0</v>
      </c>
      <c r="H207" s="7">
        <v>0.0</v>
      </c>
      <c r="I207" s="3">
        <f t="shared" si="193"/>
        <v>0</v>
      </c>
      <c r="J207" s="3">
        <f t="shared" ref="J207:K207" si="214">D207+F207+H207</f>
        <v>0</v>
      </c>
      <c r="K207" s="3">
        <f t="shared" si="214"/>
        <v>0</v>
      </c>
      <c r="L207" s="6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" t="s">
        <v>33</v>
      </c>
      <c r="B208" s="3" t="s">
        <v>35</v>
      </c>
      <c r="C208" s="3">
        <v>159.0</v>
      </c>
      <c r="D208" s="7">
        <v>0.0</v>
      </c>
      <c r="E208" s="3">
        <f t="shared" si="191"/>
        <v>0</v>
      </c>
      <c r="F208" s="7">
        <v>0.0</v>
      </c>
      <c r="G208" s="3">
        <f t="shared" si="192"/>
        <v>0</v>
      </c>
      <c r="H208" s="7">
        <v>0.0</v>
      </c>
      <c r="I208" s="3">
        <f t="shared" si="193"/>
        <v>0</v>
      </c>
      <c r="J208" s="3">
        <f t="shared" ref="J208:K208" si="215">D208+F208+H208</f>
        <v>0</v>
      </c>
      <c r="K208" s="3">
        <f t="shared" si="215"/>
        <v>0</v>
      </c>
      <c r="L208" s="6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" t="s">
        <v>33</v>
      </c>
      <c r="B209" s="3" t="s">
        <v>36</v>
      </c>
      <c r="C209" s="3">
        <v>159.0</v>
      </c>
      <c r="D209" s="7">
        <v>0.0</v>
      </c>
      <c r="E209" s="3">
        <f t="shared" si="191"/>
        <v>0</v>
      </c>
      <c r="F209" s="7">
        <v>0.0</v>
      </c>
      <c r="G209" s="3">
        <f t="shared" si="192"/>
        <v>0</v>
      </c>
      <c r="H209" s="7">
        <v>0.0</v>
      </c>
      <c r="I209" s="3">
        <f t="shared" si="193"/>
        <v>0</v>
      </c>
      <c r="J209" s="3">
        <f t="shared" ref="J209:K209" si="216">D209+F209+H209</f>
        <v>0</v>
      </c>
      <c r="K209" s="3">
        <f t="shared" si="216"/>
        <v>0</v>
      </c>
      <c r="L209" s="6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" t="s">
        <v>33</v>
      </c>
      <c r="B210" s="3" t="s">
        <v>37</v>
      </c>
      <c r="C210" s="3">
        <v>159.0</v>
      </c>
      <c r="D210" s="7">
        <v>0.0</v>
      </c>
      <c r="E210" s="3">
        <f t="shared" si="191"/>
        <v>0</v>
      </c>
      <c r="F210" s="7">
        <v>0.0</v>
      </c>
      <c r="G210" s="3">
        <f t="shared" si="192"/>
        <v>0</v>
      </c>
      <c r="H210" s="7">
        <v>0.0</v>
      </c>
      <c r="I210" s="3">
        <f t="shared" si="193"/>
        <v>0</v>
      </c>
      <c r="J210" s="3">
        <f t="shared" ref="J210:K210" si="217">D210+F210+H210</f>
        <v>0</v>
      </c>
      <c r="K210" s="3">
        <f t="shared" si="217"/>
        <v>0</v>
      </c>
      <c r="L210" s="6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" t="s">
        <v>38</v>
      </c>
      <c r="B211" s="3" t="s">
        <v>31</v>
      </c>
      <c r="C211" s="3">
        <v>99.0</v>
      </c>
      <c r="D211" s="7">
        <v>0.0</v>
      </c>
      <c r="E211" s="3">
        <f t="shared" si="191"/>
        <v>0</v>
      </c>
      <c r="F211" s="7">
        <v>0.0</v>
      </c>
      <c r="G211" s="3">
        <f t="shared" si="192"/>
        <v>0</v>
      </c>
      <c r="H211" s="7">
        <v>0.0</v>
      </c>
      <c r="I211" s="3">
        <f t="shared" si="193"/>
        <v>0</v>
      </c>
      <c r="J211" s="3">
        <f t="shared" ref="J211:K211" si="218">D211+F211+H211</f>
        <v>0</v>
      </c>
      <c r="K211" s="3">
        <f t="shared" si="218"/>
        <v>0</v>
      </c>
      <c r="L211" s="6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" t="s">
        <v>38</v>
      </c>
      <c r="B212" s="3" t="s">
        <v>24</v>
      </c>
      <c r="C212" s="3">
        <v>99.0</v>
      </c>
      <c r="D212" s="7">
        <v>0.0</v>
      </c>
      <c r="E212" s="3">
        <f t="shared" si="191"/>
        <v>0</v>
      </c>
      <c r="F212" s="7">
        <v>0.0</v>
      </c>
      <c r="G212" s="3">
        <f t="shared" si="192"/>
        <v>0</v>
      </c>
      <c r="H212" s="7">
        <v>0.0</v>
      </c>
      <c r="I212" s="3">
        <f t="shared" si="193"/>
        <v>0</v>
      </c>
      <c r="J212" s="3">
        <f t="shared" ref="J212:K212" si="219">D212+F212+H212</f>
        <v>0</v>
      </c>
      <c r="K212" s="3">
        <f t="shared" si="219"/>
        <v>0</v>
      </c>
      <c r="L212" s="6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" t="s">
        <v>38</v>
      </c>
      <c r="B213" s="3" t="s">
        <v>39</v>
      </c>
      <c r="C213" s="3">
        <v>99.0</v>
      </c>
      <c r="D213" s="7">
        <v>0.0</v>
      </c>
      <c r="E213" s="3">
        <f t="shared" si="191"/>
        <v>0</v>
      </c>
      <c r="F213" s="7">
        <v>0.0</v>
      </c>
      <c r="G213" s="3">
        <f t="shared" si="192"/>
        <v>0</v>
      </c>
      <c r="H213" s="7">
        <v>0.0</v>
      </c>
      <c r="I213" s="3">
        <f t="shared" si="193"/>
        <v>0</v>
      </c>
      <c r="J213" s="3">
        <f t="shared" ref="J213:K213" si="220">D213+F213+H213</f>
        <v>0</v>
      </c>
      <c r="K213" s="3">
        <f t="shared" si="220"/>
        <v>0</v>
      </c>
      <c r="L213" s="6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" t="s">
        <v>38</v>
      </c>
      <c r="B214" s="3" t="s">
        <v>40</v>
      </c>
      <c r="C214" s="3">
        <v>99.0</v>
      </c>
      <c r="D214" s="7">
        <v>0.0</v>
      </c>
      <c r="E214" s="3">
        <f t="shared" si="191"/>
        <v>0</v>
      </c>
      <c r="F214" s="7">
        <v>0.0</v>
      </c>
      <c r="G214" s="3">
        <f t="shared" si="192"/>
        <v>0</v>
      </c>
      <c r="H214" s="7">
        <v>0.0</v>
      </c>
      <c r="I214" s="3">
        <f t="shared" si="193"/>
        <v>0</v>
      </c>
      <c r="J214" s="3">
        <f t="shared" ref="J214:K214" si="221">D214+F214+H214</f>
        <v>0</v>
      </c>
      <c r="K214" s="3">
        <f t="shared" si="221"/>
        <v>0</v>
      </c>
      <c r="L214" s="6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" t="s">
        <v>38</v>
      </c>
      <c r="B215" s="3" t="s">
        <v>41</v>
      </c>
      <c r="C215" s="3">
        <v>99.0</v>
      </c>
      <c r="D215" s="7">
        <v>0.0</v>
      </c>
      <c r="E215" s="3">
        <f t="shared" si="191"/>
        <v>0</v>
      </c>
      <c r="F215" s="7">
        <v>0.0</v>
      </c>
      <c r="G215" s="3">
        <f t="shared" si="192"/>
        <v>0</v>
      </c>
      <c r="H215" s="7">
        <v>0.0</v>
      </c>
      <c r="I215" s="3">
        <f t="shared" si="193"/>
        <v>0</v>
      </c>
      <c r="J215" s="3">
        <f t="shared" ref="J215:K215" si="222">D215+F215+H215</f>
        <v>0</v>
      </c>
      <c r="K215" s="3">
        <f t="shared" si="222"/>
        <v>0</v>
      </c>
      <c r="L215" s="6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" t="s">
        <v>42</v>
      </c>
      <c r="B216" s="3" t="s">
        <v>43</v>
      </c>
      <c r="C216" s="3">
        <v>149.0</v>
      </c>
      <c r="D216" s="7">
        <v>0.0</v>
      </c>
      <c r="E216" s="3">
        <f t="shared" si="191"/>
        <v>0</v>
      </c>
      <c r="F216" s="7">
        <v>0.0</v>
      </c>
      <c r="G216" s="3">
        <f t="shared" si="192"/>
        <v>0</v>
      </c>
      <c r="H216" s="7">
        <v>0.0</v>
      </c>
      <c r="I216" s="3">
        <f t="shared" si="193"/>
        <v>0</v>
      </c>
      <c r="J216" s="3">
        <f t="shared" ref="J216:K216" si="223">D216+F216+H216</f>
        <v>0</v>
      </c>
      <c r="K216" s="3">
        <f t="shared" si="223"/>
        <v>0</v>
      </c>
      <c r="L216" s="6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" t="s">
        <v>42</v>
      </c>
      <c r="B217" s="3" t="s">
        <v>44</v>
      </c>
      <c r="C217" s="3">
        <v>149.0</v>
      </c>
      <c r="D217" s="7">
        <v>0.0</v>
      </c>
      <c r="E217" s="3">
        <f t="shared" si="191"/>
        <v>0</v>
      </c>
      <c r="F217" s="7">
        <v>0.0</v>
      </c>
      <c r="G217" s="3">
        <f t="shared" si="192"/>
        <v>0</v>
      </c>
      <c r="H217" s="7">
        <v>0.0</v>
      </c>
      <c r="I217" s="3">
        <f t="shared" si="193"/>
        <v>0</v>
      </c>
      <c r="J217" s="3">
        <f t="shared" ref="J217:K217" si="224">D217+F217+H217</f>
        <v>0</v>
      </c>
      <c r="K217" s="3">
        <f t="shared" si="224"/>
        <v>0</v>
      </c>
      <c r="L217" s="6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" t="s">
        <v>42</v>
      </c>
      <c r="B218" s="3" t="s">
        <v>45</v>
      </c>
      <c r="C218" s="3">
        <v>149.0</v>
      </c>
      <c r="D218" s="7">
        <v>0.0</v>
      </c>
      <c r="E218" s="3">
        <f t="shared" si="191"/>
        <v>0</v>
      </c>
      <c r="F218" s="7">
        <v>0.0</v>
      </c>
      <c r="G218" s="3">
        <f t="shared" si="192"/>
        <v>0</v>
      </c>
      <c r="H218" s="7">
        <v>0.0</v>
      </c>
      <c r="I218" s="3">
        <f t="shared" si="193"/>
        <v>0</v>
      </c>
      <c r="J218" s="3">
        <f t="shared" ref="J218:K218" si="225">D218+F218+H218</f>
        <v>0</v>
      </c>
      <c r="K218" s="3">
        <f t="shared" si="225"/>
        <v>0</v>
      </c>
      <c r="L218" s="6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" t="s">
        <v>42</v>
      </c>
      <c r="B219" s="3" t="s">
        <v>46</v>
      </c>
      <c r="C219" s="3">
        <v>149.0</v>
      </c>
      <c r="D219" s="7">
        <v>0.0</v>
      </c>
      <c r="E219" s="3">
        <f t="shared" si="191"/>
        <v>0</v>
      </c>
      <c r="F219" s="7">
        <v>0.0</v>
      </c>
      <c r="G219" s="3">
        <f t="shared" si="192"/>
        <v>0</v>
      </c>
      <c r="H219" s="7">
        <v>0.0</v>
      </c>
      <c r="I219" s="3">
        <f t="shared" si="193"/>
        <v>0</v>
      </c>
      <c r="J219" s="3">
        <f t="shared" ref="J219:K219" si="226">D219+F219+H219</f>
        <v>0</v>
      </c>
      <c r="K219" s="3">
        <f t="shared" si="226"/>
        <v>0</v>
      </c>
      <c r="L219" s="6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" t="s">
        <v>47</v>
      </c>
      <c r="B220" s="3" t="s">
        <v>48</v>
      </c>
      <c r="C220" s="3">
        <v>25.0</v>
      </c>
      <c r="D220" s="7">
        <v>0.0</v>
      </c>
      <c r="E220" s="3">
        <f t="shared" si="191"/>
        <v>0</v>
      </c>
      <c r="F220" s="7">
        <v>0.0</v>
      </c>
      <c r="G220" s="3">
        <f t="shared" si="192"/>
        <v>0</v>
      </c>
      <c r="H220" s="7">
        <v>0.0</v>
      </c>
      <c r="I220" s="3">
        <f t="shared" si="193"/>
        <v>0</v>
      </c>
      <c r="J220" s="3">
        <f t="shared" ref="J220:K220" si="227">D220+F220+H220</f>
        <v>0</v>
      </c>
      <c r="K220" s="3">
        <f t="shared" si="227"/>
        <v>0</v>
      </c>
      <c r="L220" s="6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" t="s">
        <v>47</v>
      </c>
      <c r="B221" s="3" t="s">
        <v>49</v>
      </c>
      <c r="C221" s="3">
        <v>20.0</v>
      </c>
      <c r="D221" s="7">
        <v>0.0</v>
      </c>
      <c r="E221" s="3">
        <f t="shared" si="191"/>
        <v>0</v>
      </c>
      <c r="F221" s="7">
        <v>0.0</v>
      </c>
      <c r="G221" s="3">
        <f t="shared" si="192"/>
        <v>0</v>
      </c>
      <c r="H221" s="7">
        <v>0.0</v>
      </c>
      <c r="I221" s="3">
        <f t="shared" si="193"/>
        <v>0</v>
      </c>
      <c r="J221" s="3">
        <f t="shared" ref="J221:K221" si="228">D221+F221+H221</f>
        <v>0</v>
      </c>
      <c r="K221" s="3">
        <f t="shared" si="228"/>
        <v>0</v>
      </c>
      <c r="L221" s="6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" t="s">
        <v>47</v>
      </c>
      <c r="B222" s="3" t="s">
        <v>50</v>
      </c>
      <c r="C222" s="3">
        <v>20.0</v>
      </c>
      <c r="D222" s="7">
        <v>0.0</v>
      </c>
      <c r="E222" s="3">
        <f t="shared" si="191"/>
        <v>0</v>
      </c>
      <c r="F222" s="7">
        <v>0.0</v>
      </c>
      <c r="G222" s="3">
        <f t="shared" si="192"/>
        <v>0</v>
      </c>
      <c r="H222" s="7">
        <v>0.0</v>
      </c>
      <c r="I222" s="3">
        <f t="shared" si="193"/>
        <v>0</v>
      </c>
      <c r="J222" s="3">
        <f t="shared" ref="J222:K222" si="229">D222+F222+H222</f>
        <v>0</v>
      </c>
      <c r="K222" s="3">
        <f t="shared" si="229"/>
        <v>0</v>
      </c>
      <c r="L222" s="6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" t="s">
        <v>47</v>
      </c>
      <c r="B223" s="3" t="s">
        <v>51</v>
      </c>
      <c r="C223" s="3">
        <v>20.0</v>
      </c>
      <c r="D223" s="7">
        <v>0.0</v>
      </c>
      <c r="E223" s="3">
        <f t="shared" si="191"/>
        <v>0</v>
      </c>
      <c r="F223" s="7">
        <v>0.0</v>
      </c>
      <c r="G223" s="3">
        <f t="shared" si="192"/>
        <v>0</v>
      </c>
      <c r="H223" s="7">
        <v>0.0</v>
      </c>
      <c r="I223" s="3">
        <f t="shared" si="193"/>
        <v>0</v>
      </c>
      <c r="J223" s="3">
        <f t="shared" ref="J223:K223" si="230">D223+F223+H223</f>
        <v>0</v>
      </c>
      <c r="K223" s="3">
        <f t="shared" si="230"/>
        <v>0</v>
      </c>
      <c r="L223" s="6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" t="s">
        <v>47</v>
      </c>
      <c r="B224" s="3" t="s">
        <v>52</v>
      </c>
      <c r="C224" s="3">
        <v>25.0</v>
      </c>
      <c r="D224" s="7">
        <v>0.0</v>
      </c>
      <c r="E224" s="3">
        <f t="shared" si="191"/>
        <v>0</v>
      </c>
      <c r="F224" s="7">
        <v>0.0</v>
      </c>
      <c r="G224" s="3">
        <f t="shared" si="192"/>
        <v>0</v>
      </c>
      <c r="H224" s="7">
        <v>0.0</v>
      </c>
      <c r="I224" s="3">
        <f t="shared" si="193"/>
        <v>0</v>
      </c>
      <c r="J224" s="3">
        <f t="shared" ref="J224:K224" si="231">D224+F224+H224</f>
        <v>0</v>
      </c>
      <c r="K224" s="3">
        <f t="shared" si="231"/>
        <v>0</v>
      </c>
      <c r="L224" s="6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" t="s">
        <v>47</v>
      </c>
      <c r="B225" s="3" t="s">
        <v>53</v>
      </c>
      <c r="C225" s="3">
        <v>20.0</v>
      </c>
      <c r="D225" s="7">
        <v>0.0</v>
      </c>
      <c r="E225" s="3">
        <f t="shared" si="191"/>
        <v>0</v>
      </c>
      <c r="F225" s="7">
        <v>0.0</v>
      </c>
      <c r="G225" s="3">
        <f t="shared" si="192"/>
        <v>0</v>
      </c>
      <c r="H225" s="7">
        <v>0.0</v>
      </c>
      <c r="I225" s="3">
        <f t="shared" si="193"/>
        <v>0</v>
      </c>
      <c r="J225" s="3">
        <f t="shared" ref="J225:K225" si="232">D225+F225+H225</f>
        <v>0</v>
      </c>
      <c r="K225" s="3">
        <f t="shared" si="232"/>
        <v>0</v>
      </c>
      <c r="L225" s="6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" t="s">
        <v>54</v>
      </c>
      <c r="B226" s="3" t="s">
        <v>55</v>
      </c>
      <c r="C226" s="3">
        <v>149.0</v>
      </c>
      <c r="D226" s="7">
        <v>0.0</v>
      </c>
      <c r="E226" s="3">
        <f t="shared" si="191"/>
        <v>0</v>
      </c>
      <c r="F226" s="7">
        <v>0.0</v>
      </c>
      <c r="G226" s="3">
        <f t="shared" si="192"/>
        <v>0</v>
      </c>
      <c r="H226" s="7">
        <v>0.0</v>
      </c>
      <c r="I226" s="3">
        <f t="shared" si="193"/>
        <v>0</v>
      </c>
      <c r="J226" s="3">
        <f t="shared" ref="J226:K226" si="233">D226+F226+H226</f>
        <v>0</v>
      </c>
      <c r="K226" s="3">
        <f t="shared" si="233"/>
        <v>0</v>
      </c>
      <c r="L226" s="6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" t="s">
        <v>54</v>
      </c>
      <c r="B227" s="3" t="s">
        <v>56</v>
      </c>
      <c r="C227" s="3">
        <v>149.0</v>
      </c>
      <c r="D227" s="7">
        <v>0.0</v>
      </c>
      <c r="E227" s="3">
        <f t="shared" si="191"/>
        <v>0</v>
      </c>
      <c r="F227" s="7">
        <v>0.0</v>
      </c>
      <c r="G227" s="3">
        <f t="shared" si="192"/>
        <v>0</v>
      </c>
      <c r="H227" s="7">
        <v>0.0</v>
      </c>
      <c r="I227" s="3">
        <f t="shared" si="193"/>
        <v>0</v>
      </c>
      <c r="J227" s="3">
        <f t="shared" ref="J227:K227" si="234">D227+F227+H227</f>
        <v>0</v>
      </c>
      <c r="K227" s="3">
        <f t="shared" si="234"/>
        <v>0</v>
      </c>
      <c r="L227" s="6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" t="s">
        <v>54</v>
      </c>
      <c r="B228" s="3" t="s">
        <v>57</v>
      </c>
      <c r="C228" s="3">
        <v>149.0</v>
      </c>
      <c r="D228" s="7">
        <v>0.0</v>
      </c>
      <c r="E228" s="3">
        <f t="shared" si="191"/>
        <v>0</v>
      </c>
      <c r="F228" s="7">
        <v>0.0</v>
      </c>
      <c r="G228" s="3">
        <f t="shared" si="192"/>
        <v>0</v>
      </c>
      <c r="H228" s="7">
        <v>0.0</v>
      </c>
      <c r="I228" s="3">
        <f t="shared" si="193"/>
        <v>0</v>
      </c>
      <c r="J228" s="3">
        <f t="shared" ref="J228:K228" si="235">D228+F228+H228</f>
        <v>0</v>
      </c>
      <c r="K228" s="3">
        <f t="shared" si="235"/>
        <v>0</v>
      </c>
      <c r="L228" s="6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3" t="s">
        <v>58</v>
      </c>
      <c r="B229" s="14"/>
      <c r="C229" s="14"/>
      <c r="D229" s="14"/>
      <c r="E229" s="13">
        <f>SUM(E186:E228)</f>
        <v>0</v>
      </c>
      <c r="F229" s="14"/>
      <c r="G229" s="13">
        <f>SUM(G186:G228)</f>
        <v>0</v>
      </c>
      <c r="H229" s="14"/>
      <c r="I229" s="13">
        <f t="shared" ref="I229:K229" si="236">SUM(I186:I228)</f>
        <v>0</v>
      </c>
      <c r="J229" s="13">
        <f t="shared" si="236"/>
        <v>0</v>
      </c>
      <c r="K229" s="13">
        <f t="shared" si="236"/>
        <v>0</v>
      </c>
      <c r="L229" s="15">
        <v>46005.0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" t="s">
        <v>0</v>
      </c>
      <c r="B231" s="1" t="s">
        <v>1</v>
      </c>
      <c r="C231" s="1" t="s">
        <v>2</v>
      </c>
      <c r="D231" s="2" t="s">
        <v>3</v>
      </c>
      <c r="E231" s="1" t="s">
        <v>4</v>
      </c>
      <c r="F231" s="2" t="s">
        <v>5</v>
      </c>
      <c r="G231" s="1" t="s">
        <v>6</v>
      </c>
      <c r="H231" s="2" t="s">
        <v>7</v>
      </c>
      <c r="I231" s="1" t="s">
        <v>8</v>
      </c>
      <c r="J231" s="1" t="s">
        <v>9</v>
      </c>
      <c r="K231" s="1" t="s">
        <v>10</v>
      </c>
      <c r="L231" s="3" t="s">
        <v>11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" t="s">
        <v>12</v>
      </c>
      <c r="B232" s="3" t="s">
        <v>13</v>
      </c>
      <c r="C232" s="3">
        <v>189.0</v>
      </c>
      <c r="D232" s="7">
        <v>0.0</v>
      </c>
      <c r="E232" s="3">
        <f t="shared" ref="E232:E274" si="238">C232*D232</f>
        <v>0</v>
      </c>
      <c r="F232" s="7">
        <v>0.0</v>
      </c>
      <c r="G232" s="4">
        <f t="shared" ref="G232:G274" si="239">C232*F232</f>
        <v>0</v>
      </c>
      <c r="H232" s="7">
        <v>0.0</v>
      </c>
      <c r="I232" s="3">
        <f t="shared" ref="I232:I274" si="240">C232*H232</f>
        <v>0</v>
      </c>
      <c r="J232" s="3">
        <f t="shared" ref="J232:K232" si="237">D232+F232+H232</f>
        <v>0</v>
      </c>
      <c r="K232" s="3">
        <f t="shared" si="237"/>
        <v>0</v>
      </c>
      <c r="L232" s="6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" t="s">
        <v>12</v>
      </c>
      <c r="B233" s="3" t="s">
        <v>14</v>
      </c>
      <c r="C233" s="3">
        <v>189.0</v>
      </c>
      <c r="D233" s="7">
        <v>0.0</v>
      </c>
      <c r="E233" s="3">
        <f t="shared" si="238"/>
        <v>0</v>
      </c>
      <c r="F233" s="7">
        <v>0.0</v>
      </c>
      <c r="G233" s="3">
        <f t="shared" si="239"/>
        <v>0</v>
      </c>
      <c r="H233" s="7">
        <v>0.0</v>
      </c>
      <c r="I233" s="3">
        <f t="shared" si="240"/>
        <v>0</v>
      </c>
      <c r="J233" s="3">
        <f t="shared" ref="J233:K233" si="241">D233+F233+H233</f>
        <v>0</v>
      </c>
      <c r="K233" s="3">
        <f t="shared" si="241"/>
        <v>0</v>
      </c>
      <c r="L233" s="6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" t="s">
        <v>12</v>
      </c>
      <c r="B234" s="3" t="s">
        <v>15</v>
      </c>
      <c r="C234" s="3">
        <v>189.0</v>
      </c>
      <c r="D234" s="7">
        <v>0.0</v>
      </c>
      <c r="E234" s="3">
        <f t="shared" si="238"/>
        <v>0</v>
      </c>
      <c r="F234" s="7">
        <v>0.0</v>
      </c>
      <c r="G234" s="3">
        <f t="shared" si="239"/>
        <v>0</v>
      </c>
      <c r="H234" s="7">
        <v>0.0</v>
      </c>
      <c r="I234" s="3">
        <f t="shared" si="240"/>
        <v>0</v>
      </c>
      <c r="J234" s="3">
        <f t="shared" ref="J234:K234" si="242">D234+F234+H234</f>
        <v>0</v>
      </c>
      <c r="K234" s="3">
        <f t="shared" si="242"/>
        <v>0</v>
      </c>
      <c r="L234" s="6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" t="s">
        <v>12</v>
      </c>
      <c r="B235" s="3" t="s">
        <v>16</v>
      </c>
      <c r="C235" s="3">
        <v>189.0</v>
      </c>
      <c r="D235" s="7">
        <v>0.0</v>
      </c>
      <c r="E235" s="3">
        <f t="shared" si="238"/>
        <v>0</v>
      </c>
      <c r="F235" s="7">
        <v>0.0</v>
      </c>
      <c r="G235" s="3">
        <f t="shared" si="239"/>
        <v>0</v>
      </c>
      <c r="H235" s="7">
        <v>0.0</v>
      </c>
      <c r="I235" s="3">
        <f t="shared" si="240"/>
        <v>0</v>
      </c>
      <c r="J235" s="3">
        <f t="shared" ref="J235:K235" si="243">D235+F235+H235</f>
        <v>0</v>
      </c>
      <c r="K235" s="3">
        <f t="shared" si="243"/>
        <v>0</v>
      </c>
      <c r="L235" s="6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" t="s">
        <v>12</v>
      </c>
      <c r="B236" s="3" t="s">
        <v>17</v>
      </c>
      <c r="C236" s="3">
        <v>189.0</v>
      </c>
      <c r="D236" s="7">
        <v>0.0</v>
      </c>
      <c r="E236" s="3">
        <f t="shared" si="238"/>
        <v>0</v>
      </c>
      <c r="F236" s="7">
        <v>0.0</v>
      </c>
      <c r="G236" s="3">
        <f t="shared" si="239"/>
        <v>0</v>
      </c>
      <c r="H236" s="7">
        <v>0.0</v>
      </c>
      <c r="I236" s="3">
        <f t="shared" si="240"/>
        <v>0</v>
      </c>
      <c r="J236" s="3">
        <f t="shared" ref="J236:K236" si="244">D236+F236+H236</f>
        <v>0</v>
      </c>
      <c r="K236" s="3">
        <f t="shared" si="244"/>
        <v>0</v>
      </c>
      <c r="L236" s="6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" t="s">
        <v>12</v>
      </c>
      <c r="B237" s="3" t="s">
        <v>18</v>
      </c>
      <c r="C237" s="3">
        <v>189.0</v>
      </c>
      <c r="D237" s="7">
        <v>0.0</v>
      </c>
      <c r="E237" s="3">
        <f t="shared" si="238"/>
        <v>0</v>
      </c>
      <c r="F237" s="7">
        <v>0.0</v>
      </c>
      <c r="G237" s="3">
        <f t="shared" si="239"/>
        <v>0</v>
      </c>
      <c r="H237" s="7">
        <v>0.0</v>
      </c>
      <c r="I237" s="3">
        <f t="shared" si="240"/>
        <v>0</v>
      </c>
      <c r="J237" s="3">
        <f t="shared" ref="J237:K237" si="245">D237+F237+H237</f>
        <v>0</v>
      </c>
      <c r="K237" s="3">
        <f t="shared" si="245"/>
        <v>0</v>
      </c>
      <c r="L237" s="6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" t="s">
        <v>12</v>
      </c>
      <c r="B238" s="3" t="s">
        <v>19</v>
      </c>
      <c r="C238" s="3">
        <v>189.0</v>
      </c>
      <c r="D238" s="7">
        <v>0.0</v>
      </c>
      <c r="E238" s="3">
        <f t="shared" si="238"/>
        <v>0</v>
      </c>
      <c r="F238" s="7">
        <v>0.0</v>
      </c>
      <c r="G238" s="3">
        <f t="shared" si="239"/>
        <v>0</v>
      </c>
      <c r="H238" s="7">
        <v>0.0</v>
      </c>
      <c r="I238" s="3">
        <f t="shared" si="240"/>
        <v>0</v>
      </c>
      <c r="J238" s="3">
        <f t="shared" ref="J238:K238" si="246">D238+F238+H238</f>
        <v>0</v>
      </c>
      <c r="K238" s="3">
        <f t="shared" si="246"/>
        <v>0</v>
      </c>
      <c r="L238" s="6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" t="s">
        <v>12</v>
      </c>
      <c r="B239" s="3" t="s">
        <v>20</v>
      </c>
      <c r="C239" s="3">
        <v>189.0</v>
      </c>
      <c r="D239" s="7">
        <v>0.0</v>
      </c>
      <c r="E239" s="3">
        <f t="shared" si="238"/>
        <v>0</v>
      </c>
      <c r="F239" s="7">
        <v>0.0</v>
      </c>
      <c r="G239" s="3">
        <f t="shared" si="239"/>
        <v>0</v>
      </c>
      <c r="H239" s="7">
        <v>0.0</v>
      </c>
      <c r="I239" s="3">
        <f t="shared" si="240"/>
        <v>0</v>
      </c>
      <c r="J239" s="3">
        <f t="shared" ref="J239:K239" si="247">D239+F239+H239</f>
        <v>0</v>
      </c>
      <c r="K239" s="3">
        <f t="shared" si="247"/>
        <v>0</v>
      </c>
      <c r="L239" s="6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" t="s">
        <v>21</v>
      </c>
      <c r="B240" s="3" t="s">
        <v>20</v>
      </c>
      <c r="C240" s="3">
        <v>149.0</v>
      </c>
      <c r="D240" s="7">
        <v>0.0</v>
      </c>
      <c r="E240" s="3">
        <f t="shared" si="238"/>
        <v>0</v>
      </c>
      <c r="F240" s="7">
        <v>0.0</v>
      </c>
      <c r="G240" s="3">
        <f t="shared" si="239"/>
        <v>0</v>
      </c>
      <c r="H240" s="7">
        <v>0.0</v>
      </c>
      <c r="I240" s="3">
        <f t="shared" si="240"/>
        <v>0</v>
      </c>
      <c r="J240" s="3">
        <f t="shared" ref="J240:K240" si="248">D240+F240+H240</f>
        <v>0</v>
      </c>
      <c r="K240" s="3">
        <f t="shared" si="248"/>
        <v>0</v>
      </c>
      <c r="L240" s="6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" t="s">
        <v>21</v>
      </c>
      <c r="B241" s="3" t="s">
        <v>22</v>
      </c>
      <c r="C241" s="3">
        <v>149.0</v>
      </c>
      <c r="D241" s="7">
        <v>2.0</v>
      </c>
      <c r="E241" s="3">
        <f t="shared" si="238"/>
        <v>298</v>
      </c>
      <c r="F241" s="7">
        <v>0.0</v>
      </c>
      <c r="G241" s="3">
        <f t="shared" si="239"/>
        <v>0</v>
      </c>
      <c r="H241" s="7">
        <v>0.0</v>
      </c>
      <c r="I241" s="3">
        <f t="shared" si="240"/>
        <v>0</v>
      </c>
      <c r="J241" s="3">
        <f t="shared" ref="J241:K241" si="249">D241+F241+H241</f>
        <v>2</v>
      </c>
      <c r="K241" s="3">
        <f t="shared" si="249"/>
        <v>298</v>
      </c>
      <c r="L241" s="6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" t="s">
        <v>21</v>
      </c>
      <c r="B242" s="3" t="s">
        <v>23</v>
      </c>
      <c r="C242" s="3">
        <v>149.0</v>
      </c>
      <c r="D242" s="7">
        <v>0.0</v>
      </c>
      <c r="E242" s="3">
        <f t="shared" si="238"/>
        <v>0</v>
      </c>
      <c r="F242" s="7">
        <v>0.0</v>
      </c>
      <c r="G242" s="3">
        <f t="shared" si="239"/>
        <v>0</v>
      </c>
      <c r="H242" s="7">
        <v>0.0</v>
      </c>
      <c r="I242" s="3">
        <f t="shared" si="240"/>
        <v>0</v>
      </c>
      <c r="J242" s="3">
        <f t="shared" ref="J242:K242" si="250">D242+F242+H242</f>
        <v>0</v>
      </c>
      <c r="K242" s="3">
        <f t="shared" si="250"/>
        <v>0</v>
      </c>
      <c r="L242" s="6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" t="s">
        <v>21</v>
      </c>
      <c r="B243" s="3" t="s">
        <v>14</v>
      </c>
      <c r="C243" s="3">
        <v>149.0</v>
      </c>
      <c r="D243" s="7">
        <v>1.0</v>
      </c>
      <c r="E243" s="3">
        <f t="shared" si="238"/>
        <v>149</v>
      </c>
      <c r="F243" s="7">
        <v>0.0</v>
      </c>
      <c r="G243" s="3">
        <f t="shared" si="239"/>
        <v>0</v>
      </c>
      <c r="H243" s="7">
        <v>0.0</v>
      </c>
      <c r="I243" s="3">
        <f t="shared" si="240"/>
        <v>0</v>
      </c>
      <c r="J243" s="3">
        <f t="shared" ref="J243:K243" si="251">D243+F243+H243</f>
        <v>1</v>
      </c>
      <c r="K243" s="3">
        <f t="shared" si="251"/>
        <v>149</v>
      </c>
      <c r="L243" s="6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" t="s">
        <v>21</v>
      </c>
      <c r="B244" s="3" t="s">
        <v>24</v>
      </c>
      <c r="C244" s="3">
        <v>149.0</v>
      </c>
      <c r="D244" s="7">
        <v>0.0</v>
      </c>
      <c r="E244" s="3">
        <f t="shared" si="238"/>
        <v>0</v>
      </c>
      <c r="F244" s="7">
        <v>0.0</v>
      </c>
      <c r="G244" s="3">
        <f t="shared" si="239"/>
        <v>0</v>
      </c>
      <c r="H244" s="7">
        <v>0.0</v>
      </c>
      <c r="I244" s="3">
        <f t="shared" si="240"/>
        <v>0</v>
      </c>
      <c r="J244" s="3">
        <f t="shared" ref="J244:K244" si="252">D244+F244+H244</f>
        <v>0</v>
      </c>
      <c r="K244" s="3">
        <f t="shared" si="252"/>
        <v>0</v>
      </c>
      <c r="L244" s="6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" t="s">
        <v>21</v>
      </c>
      <c r="B245" s="3" t="s">
        <v>25</v>
      </c>
      <c r="C245" s="3">
        <v>149.0</v>
      </c>
      <c r="D245" s="7">
        <v>0.0</v>
      </c>
      <c r="E245" s="3">
        <f t="shared" si="238"/>
        <v>0</v>
      </c>
      <c r="F245" s="7">
        <v>0.0</v>
      </c>
      <c r="G245" s="3">
        <f t="shared" si="239"/>
        <v>0</v>
      </c>
      <c r="H245" s="7">
        <v>0.0</v>
      </c>
      <c r="I245" s="3">
        <f t="shared" si="240"/>
        <v>0</v>
      </c>
      <c r="J245" s="3">
        <f t="shared" ref="J245:K245" si="253">D245+F245+H245</f>
        <v>0</v>
      </c>
      <c r="K245" s="3">
        <f t="shared" si="253"/>
        <v>0</v>
      </c>
      <c r="L245" s="6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" t="s">
        <v>21</v>
      </c>
      <c r="B246" s="3" t="s">
        <v>26</v>
      </c>
      <c r="C246" s="3">
        <v>149.0</v>
      </c>
      <c r="D246" s="7">
        <v>0.0</v>
      </c>
      <c r="E246" s="3">
        <f t="shared" si="238"/>
        <v>0</v>
      </c>
      <c r="F246" s="7">
        <v>0.0</v>
      </c>
      <c r="G246" s="3">
        <f t="shared" si="239"/>
        <v>0</v>
      </c>
      <c r="H246" s="7">
        <v>0.0</v>
      </c>
      <c r="I246" s="3">
        <f t="shared" si="240"/>
        <v>0</v>
      </c>
      <c r="J246" s="3">
        <f t="shared" ref="J246:K246" si="254">D246+F246+H246</f>
        <v>0</v>
      </c>
      <c r="K246" s="3">
        <f t="shared" si="254"/>
        <v>0</v>
      </c>
      <c r="L246" s="6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" t="s">
        <v>21</v>
      </c>
      <c r="B247" s="3" t="s">
        <v>27</v>
      </c>
      <c r="C247" s="3">
        <v>149.0</v>
      </c>
      <c r="D247" s="7">
        <v>0.0</v>
      </c>
      <c r="E247" s="3">
        <f t="shared" si="238"/>
        <v>0</v>
      </c>
      <c r="F247" s="7">
        <v>0.0</v>
      </c>
      <c r="G247" s="3">
        <f t="shared" si="239"/>
        <v>0</v>
      </c>
      <c r="H247" s="7">
        <v>0.0</v>
      </c>
      <c r="I247" s="3">
        <f t="shared" si="240"/>
        <v>0</v>
      </c>
      <c r="J247" s="3">
        <f t="shared" ref="J247:K247" si="255">D247+F247+H247</f>
        <v>0</v>
      </c>
      <c r="K247" s="3">
        <f t="shared" si="255"/>
        <v>0</v>
      </c>
      <c r="L247" s="6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" t="s">
        <v>21</v>
      </c>
      <c r="B248" s="3" t="s">
        <v>28</v>
      </c>
      <c r="C248" s="3">
        <v>149.0</v>
      </c>
      <c r="D248" s="7">
        <v>0.0</v>
      </c>
      <c r="E248" s="3">
        <f t="shared" si="238"/>
        <v>0</v>
      </c>
      <c r="F248" s="7">
        <v>0.0</v>
      </c>
      <c r="G248" s="3">
        <f t="shared" si="239"/>
        <v>0</v>
      </c>
      <c r="H248" s="7">
        <v>0.0</v>
      </c>
      <c r="I248" s="3">
        <f t="shared" si="240"/>
        <v>0</v>
      </c>
      <c r="J248" s="3">
        <f t="shared" ref="J248:K248" si="256">D248+F248+H248</f>
        <v>0</v>
      </c>
      <c r="K248" s="3">
        <f t="shared" si="256"/>
        <v>0</v>
      </c>
      <c r="L248" s="6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" t="s">
        <v>21</v>
      </c>
      <c r="B249" s="3" t="s">
        <v>29</v>
      </c>
      <c r="C249" s="3">
        <v>149.0</v>
      </c>
      <c r="D249" s="7">
        <v>0.0</v>
      </c>
      <c r="E249" s="3">
        <f t="shared" si="238"/>
        <v>0</v>
      </c>
      <c r="F249" s="7">
        <v>0.0</v>
      </c>
      <c r="G249" s="3">
        <f t="shared" si="239"/>
        <v>0</v>
      </c>
      <c r="H249" s="7">
        <v>0.0</v>
      </c>
      <c r="I249" s="3">
        <f t="shared" si="240"/>
        <v>0</v>
      </c>
      <c r="J249" s="3">
        <f t="shared" ref="J249:K249" si="257">D249+F249+H249</f>
        <v>0</v>
      </c>
      <c r="K249" s="3">
        <f t="shared" si="257"/>
        <v>0</v>
      </c>
      <c r="L249" s="6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" t="s">
        <v>21</v>
      </c>
      <c r="B250" s="3" t="s">
        <v>30</v>
      </c>
      <c r="C250" s="3">
        <v>149.0</v>
      </c>
      <c r="D250" s="7">
        <v>0.0</v>
      </c>
      <c r="E250" s="3">
        <f t="shared" si="238"/>
        <v>0</v>
      </c>
      <c r="F250" s="7">
        <v>0.0</v>
      </c>
      <c r="G250" s="3">
        <f t="shared" si="239"/>
        <v>0</v>
      </c>
      <c r="H250" s="7">
        <v>0.0</v>
      </c>
      <c r="I250" s="3">
        <f t="shared" si="240"/>
        <v>0</v>
      </c>
      <c r="J250" s="3">
        <f t="shared" ref="J250:K250" si="258">D250+F250+H250</f>
        <v>0</v>
      </c>
      <c r="K250" s="3">
        <f t="shared" si="258"/>
        <v>0</v>
      </c>
      <c r="L250" s="6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" t="s">
        <v>21</v>
      </c>
      <c r="B251" s="3" t="s">
        <v>31</v>
      </c>
      <c r="C251" s="3">
        <v>149.0</v>
      </c>
      <c r="D251" s="7">
        <v>0.0</v>
      </c>
      <c r="E251" s="3">
        <f t="shared" si="238"/>
        <v>0</v>
      </c>
      <c r="F251" s="7">
        <v>0.0</v>
      </c>
      <c r="G251" s="3">
        <f t="shared" si="239"/>
        <v>0</v>
      </c>
      <c r="H251" s="7">
        <v>0.0</v>
      </c>
      <c r="I251" s="3">
        <f t="shared" si="240"/>
        <v>0</v>
      </c>
      <c r="J251" s="3">
        <f t="shared" ref="J251:K251" si="259">D251+F251+H251</f>
        <v>0</v>
      </c>
      <c r="K251" s="3">
        <f t="shared" si="259"/>
        <v>0</v>
      </c>
      <c r="L251" s="6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" t="s">
        <v>21</v>
      </c>
      <c r="B252" s="3" t="s">
        <v>32</v>
      </c>
      <c r="C252" s="3">
        <v>149.0</v>
      </c>
      <c r="D252" s="7">
        <v>0.0</v>
      </c>
      <c r="E252" s="3">
        <f t="shared" si="238"/>
        <v>0</v>
      </c>
      <c r="F252" s="7">
        <v>0.0</v>
      </c>
      <c r="G252" s="3">
        <f t="shared" si="239"/>
        <v>0</v>
      </c>
      <c r="H252" s="7">
        <v>0.0</v>
      </c>
      <c r="I252" s="3">
        <f t="shared" si="240"/>
        <v>0</v>
      </c>
      <c r="J252" s="3">
        <f t="shared" ref="J252:K252" si="260">D252+F252+H252</f>
        <v>0</v>
      </c>
      <c r="K252" s="3">
        <f t="shared" si="260"/>
        <v>0</v>
      </c>
      <c r="L252" s="6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" t="s">
        <v>33</v>
      </c>
      <c r="B253" s="3" t="s">
        <v>34</v>
      </c>
      <c r="C253" s="3">
        <v>159.0</v>
      </c>
      <c r="D253" s="7">
        <v>0.0</v>
      </c>
      <c r="E253" s="3">
        <f t="shared" si="238"/>
        <v>0</v>
      </c>
      <c r="F253" s="7">
        <v>0.0</v>
      </c>
      <c r="G253" s="3">
        <f t="shared" si="239"/>
        <v>0</v>
      </c>
      <c r="H253" s="7">
        <v>0.0</v>
      </c>
      <c r="I253" s="3">
        <f t="shared" si="240"/>
        <v>0</v>
      </c>
      <c r="J253" s="3">
        <f t="shared" ref="J253:K253" si="261">D253+F253+H253</f>
        <v>0</v>
      </c>
      <c r="K253" s="3">
        <f t="shared" si="261"/>
        <v>0</v>
      </c>
      <c r="L253" s="6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" t="s">
        <v>33</v>
      </c>
      <c r="B254" s="3" t="s">
        <v>35</v>
      </c>
      <c r="C254" s="3">
        <v>159.0</v>
      </c>
      <c r="D254" s="7">
        <v>0.0</v>
      </c>
      <c r="E254" s="3">
        <f t="shared" si="238"/>
        <v>0</v>
      </c>
      <c r="F254" s="7">
        <v>0.0</v>
      </c>
      <c r="G254" s="3">
        <f t="shared" si="239"/>
        <v>0</v>
      </c>
      <c r="H254" s="7">
        <v>0.0</v>
      </c>
      <c r="I254" s="3">
        <f t="shared" si="240"/>
        <v>0</v>
      </c>
      <c r="J254" s="3">
        <f t="shared" ref="J254:K254" si="262">D254+F254+H254</f>
        <v>0</v>
      </c>
      <c r="K254" s="3">
        <f t="shared" si="262"/>
        <v>0</v>
      </c>
      <c r="L254" s="6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" t="s">
        <v>33</v>
      </c>
      <c r="B255" s="3" t="s">
        <v>36</v>
      </c>
      <c r="C255" s="3">
        <v>159.0</v>
      </c>
      <c r="D255" s="7">
        <v>0.0</v>
      </c>
      <c r="E255" s="3">
        <f t="shared" si="238"/>
        <v>0</v>
      </c>
      <c r="F255" s="7">
        <v>0.0</v>
      </c>
      <c r="G255" s="3">
        <f t="shared" si="239"/>
        <v>0</v>
      </c>
      <c r="H255" s="7">
        <v>0.0</v>
      </c>
      <c r="I255" s="3">
        <f t="shared" si="240"/>
        <v>0</v>
      </c>
      <c r="J255" s="3">
        <f t="shared" ref="J255:K255" si="263">D255+F255+H255</f>
        <v>0</v>
      </c>
      <c r="K255" s="3">
        <f t="shared" si="263"/>
        <v>0</v>
      </c>
      <c r="L255" s="6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" t="s">
        <v>33</v>
      </c>
      <c r="B256" s="3" t="s">
        <v>37</v>
      </c>
      <c r="C256" s="3">
        <v>159.0</v>
      </c>
      <c r="D256" s="7">
        <v>0.0</v>
      </c>
      <c r="E256" s="3">
        <f t="shared" si="238"/>
        <v>0</v>
      </c>
      <c r="F256" s="7">
        <v>0.0</v>
      </c>
      <c r="G256" s="3">
        <f t="shared" si="239"/>
        <v>0</v>
      </c>
      <c r="H256" s="7">
        <v>0.0</v>
      </c>
      <c r="I256" s="3">
        <f t="shared" si="240"/>
        <v>0</v>
      </c>
      <c r="J256" s="3">
        <f t="shared" ref="J256:K256" si="264">D256+F256+H256</f>
        <v>0</v>
      </c>
      <c r="K256" s="3">
        <f t="shared" si="264"/>
        <v>0</v>
      </c>
      <c r="L256" s="6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" t="s">
        <v>38</v>
      </c>
      <c r="B257" s="3" t="s">
        <v>31</v>
      </c>
      <c r="C257" s="3">
        <v>99.0</v>
      </c>
      <c r="D257" s="7">
        <v>1.0</v>
      </c>
      <c r="E257" s="3">
        <f t="shared" si="238"/>
        <v>99</v>
      </c>
      <c r="F257" s="7">
        <v>0.0</v>
      </c>
      <c r="G257" s="3">
        <f t="shared" si="239"/>
        <v>0</v>
      </c>
      <c r="H257" s="7">
        <v>0.0</v>
      </c>
      <c r="I257" s="3">
        <f t="shared" si="240"/>
        <v>0</v>
      </c>
      <c r="J257" s="3">
        <f t="shared" ref="J257:K257" si="265">D257+F257+H257</f>
        <v>1</v>
      </c>
      <c r="K257" s="3">
        <f t="shared" si="265"/>
        <v>99</v>
      </c>
      <c r="L257" s="6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" t="s">
        <v>38</v>
      </c>
      <c r="B258" s="3" t="s">
        <v>24</v>
      </c>
      <c r="C258" s="3">
        <v>99.0</v>
      </c>
      <c r="D258" s="7">
        <v>3.0</v>
      </c>
      <c r="E258" s="3">
        <f t="shared" si="238"/>
        <v>297</v>
      </c>
      <c r="F258" s="7">
        <v>0.0</v>
      </c>
      <c r="G258" s="3">
        <f t="shared" si="239"/>
        <v>0</v>
      </c>
      <c r="H258" s="7">
        <v>0.0</v>
      </c>
      <c r="I258" s="3">
        <f t="shared" si="240"/>
        <v>0</v>
      </c>
      <c r="J258" s="3">
        <f t="shared" ref="J258:K258" si="266">D258+F258+H258</f>
        <v>3</v>
      </c>
      <c r="K258" s="3">
        <f t="shared" si="266"/>
        <v>297</v>
      </c>
      <c r="L258" s="6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" t="s">
        <v>38</v>
      </c>
      <c r="B259" s="3" t="s">
        <v>39</v>
      </c>
      <c r="C259" s="3">
        <v>99.0</v>
      </c>
      <c r="D259" s="7">
        <v>0.0</v>
      </c>
      <c r="E259" s="3">
        <f t="shared" si="238"/>
        <v>0</v>
      </c>
      <c r="F259" s="7">
        <v>0.0</v>
      </c>
      <c r="G259" s="3">
        <f t="shared" si="239"/>
        <v>0</v>
      </c>
      <c r="H259" s="7">
        <v>0.0</v>
      </c>
      <c r="I259" s="3">
        <f t="shared" si="240"/>
        <v>0</v>
      </c>
      <c r="J259" s="3">
        <f t="shared" ref="J259:K259" si="267">D259+F259+H259</f>
        <v>0</v>
      </c>
      <c r="K259" s="3">
        <f t="shared" si="267"/>
        <v>0</v>
      </c>
      <c r="L259" s="6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" t="s">
        <v>38</v>
      </c>
      <c r="B260" s="3" t="s">
        <v>40</v>
      </c>
      <c r="C260" s="3">
        <v>99.0</v>
      </c>
      <c r="D260" s="7">
        <v>0.0</v>
      </c>
      <c r="E260" s="3">
        <f t="shared" si="238"/>
        <v>0</v>
      </c>
      <c r="F260" s="7">
        <v>0.0</v>
      </c>
      <c r="G260" s="3">
        <f t="shared" si="239"/>
        <v>0</v>
      </c>
      <c r="H260" s="7">
        <v>0.0</v>
      </c>
      <c r="I260" s="3">
        <f t="shared" si="240"/>
        <v>0</v>
      </c>
      <c r="J260" s="3">
        <f t="shared" ref="J260:K260" si="268">D260+F260+H260</f>
        <v>0</v>
      </c>
      <c r="K260" s="3">
        <f t="shared" si="268"/>
        <v>0</v>
      </c>
      <c r="L260" s="6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" t="s">
        <v>38</v>
      </c>
      <c r="B261" s="3" t="s">
        <v>41</v>
      </c>
      <c r="C261" s="3">
        <v>99.0</v>
      </c>
      <c r="D261" s="7">
        <v>0.0</v>
      </c>
      <c r="E261" s="3">
        <f t="shared" si="238"/>
        <v>0</v>
      </c>
      <c r="F261" s="7">
        <v>0.0</v>
      </c>
      <c r="G261" s="3">
        <f t="shared" si="239"/>
        <v>0</v>
      </c>
      <c r="H261" s="7">
        <v>0.0</v>
      </c>
      <c r="I261" s="3">
        <f t="shared" si="240"/>
        <v>0</v>
      </c>
      <c r="J261" s="3">
        <f t="shared" ref="J261:K261" si="269">D261+F261+H261</f>
        <v>0</v>
      </c>
      <c r="K261" s="3">
        <f t="shared" si="269"/>
        <v>0</v>
      </c>
      <c r="L261" s="6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" t="s">
        <v>42</v>
      </c>
      <c r="B262" s="3" t="s">
        <v>43</v>
      </c>
      <c r="C262" s="3">
        <v>149.0</v>
      </c>
      <c r="D262" s="7">
        <v>0.0</v>
      </c>
      <c r="E262" s="3">
        <f t="shared" si="238"/>
        <v>0</v>
      </c>
      <c r="F262" s="7">
        <v>0.0</v>
      </c>
      <c r="G262" s="3">
        <f t="shared" si="239"/>
        <v>0</v>
      </c>
      <c r="H262" s="7">
        <v>0.0</v>
      </c>
      <c r="I262" s="3">
        <f t="shared" si="240"/>
        <v>0</v>
      </c>
      <c r="J262" s="3">
        <f t="shared" ref="J262:K262" si="270">D262+F262+H262</f>
        <v>0</v>
      </c>
      <c r="K262" s="3">
        <f t="shared" si="270"/>
        <v>0</v>
      </c>
      <c r="L262" s="6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" t="s">
        <v>42</v>
      </c>
      <c r="B263" s="3" t="s">
        <v>44</v>
      </c>
      <c r="C263" s="3">
        <v>149.0</v>
      </c>
      <c r="D263" s="7">
        <v>0.0</v>
      </c>
      <c r="E263" s="3">
        <f t="shared" si="238"/>
        <v>0</v>
      </c>
      <c r="F263" s="7">
        <v>0.0</v>
      </c>
      <c r="G263" s="3">
        <f t="shared" si="239"/>
        <v>0</v>
      </c>
      <c r="H263" s="7">
        <v>0.0</v>
      </c>
      <c r="I263" s="3">
        <f t="shared" si="240"/>
        <v>0</v>
      </c>
      <c r="J263" s="3">
        <f t="shared" ref="J263:K263" si="271">D263+F263+H263</f>
        <v>0</v>
      </c>
      <c r="K263" s="3">
        <f t="shared" si="271"/>
        <v>0</v>
      </c>
      <c r="L263" s="6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" t="s">
        <v>42</v>
      </c>
      <c r="B264" s="3" t="s">
        <v>45</v>
      </c>
      <c r="C264" s="3">
        <v>149.0</v>
      </c>
      <c r="D264" s="7">
        <v>0.0</v>
      </c>
      <c r="E264" s="3">
        <f t="shared" si="238"/>
        <v>0</v>
      </c>
      <c r="F264" s="7">
        <v>0.0</v>
      </c>
      <c r="G264" s="3">
        <f t="shared" si="239"/>
        <v>0</v>
      </c>
      <c r="H264" s="7">
        <v>0.0</v>
      </c>
      <c r="I264" s="3">
        <f t="shared" si="240"/>
        <v>0</v>
      </c>
      <c r="J264" s="3">
        <f t="shared" ref="J264:K264" si="272">D264+F264+H264</f>
        <v>0</v>
      </c>
      <c r="K264" s="3">
        <f t="shared" si="272"/>
        <v>0</v>
      </c>
      <c r="L264" s="6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" t="s">
        <v>42</v>
      </c>
      <c r="B265" s="3" t="s">
        <v>46</v>
      </c>
      <c r="C265" s="3">
        <v>149.0</v>
      </c>
      <c r="D265" s="7">
        <v>0.0</v>
      </c>
      <c r="E265" s="3">
        <f t="shared" si="238"/>
        <v>0</v>
      </c>
      <c r="F265" s="7">
        <v>0.0</v>
      </c>
      <c r="G265" s="3">
        <f t="shared" si="239"/>
        <v>0</v>
      </c>
      <c r="H265" s="7">
        <v>0.0</v>
      </c>
      <c r="I265" s="3">
        <f t="shared" si="240"/>
        <v>0</v>
      </c>
      <c r="J265" s="3">
        <f t="shared" ref="J265:K265" si="273">D265+F265+H265</f>
        <v>0</v>
      </c>
      <c r="K265" s="3">
        <f t="shared" si="273"/>
        <v>0</v>
      </c>
      <c r="L265" s="6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3" t="s">
        <v>47</v>
      </c>
      <c r="B266" s="3" t="s">
        <v>48</v>
      </c>
      <c r="C266" s="3">
        <v>25.0</v>
      </c>
      <c r="D266" s="7">
        <v>2.0</v>
      </c>
      <c r="E266" s="3">
        <f t="shared" si="238"/>
        <v>50</v>
      </c>
      <c r="F266" s="7">
        <v>0.0</v>
      </c>
      <c r="G266" s="3">
        <f t="shared" si="239"/>
        <v>0</v>
      </c>
      <c r="H266" s="7">
        <v>0.0</v>
      </c>
      <c r="I266" s="3">
        <f t="shared" si="240"/>
        <v>0</v>
      </c>
      <c r="J266" s="3">
        <f t="shared" ref="J266:K266" si="274">D266+F266+H266</f>
        <v>2</v>
      </c>
      <c r="K266" s="3">
        <f t="shared" si="274"/>
        <v>50</v>
      </c>
      <c r="L266" s="6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" t="s">
        <v>47</v>
      </c>
      <c r="B267" s="3" t="s">
        <v>49</v>
      </c>
      <c r="C267" s="3">
        <v>20.0</v>
      </c>
      <c r="D267" s="7">
        <v>0.0</v>
      </c>
      <c r="E267" s="3">
        <f t="shared" si="238"/>
        <v>0</v>
      </c>
      <c r="F267" s="7">
        <v>0.0</v>
      </c>
      <c r="G267" s="3">
        <f t="shared" si="239"/>
        <v>0</v>
      </c>
      <c r="H267" s="7">
        <v>0.0</v>
      </c>
      <c r="I267" s="3">
        <f t="shared" si="240"/>
        <v>0</v>
      </c>
      <c r="J267" s="3">
        <f t="shared" ref="J267:K267" si="275">D267+F267+H267</f>
        <v>0</v>
      </c>
      <c r="K267" s="3">
        <f t="shared" si="275"/>
        <v>0</v>
      </c>
      <c r="L267" s="6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" t="s">
        <v>47</v>
      </c>
      <c r="B268" s="3" t="s">
        <v>50</v>
      </c>
      <c r="C268" s="3">
        <v>20.0</v>
      </c>
      <c r="D268" s="7">
        <v>0.0</v>
      </c>
      <c r="E268" s="3">
        <f t="shared" si="238"/>
        <v>0</v>
      </c>
      <c r="F268" s="7">
        <v>0.0</v>
      </c>
      <c r="G268" s="3">
        <f t="shared" si="239"/>
        <v>0</v>
      </c>
      <c r="H268" s="7">
        <v>0.0</v>
      </c>
      <c r="I268" s="3">
        <f t="shared" si="240"/>
        <v>0</v>
      </c>
      <c r="J268" s="3">
        <f t="shared" ref="J268:K268" si="276">D268+F268+H268</f>
        <v>0</v>
      </c>
      <c r="K268" s="3">
        <f t="shared" si="276"/>
        <v>0</v>
      </c>
      <c r="L268" s="6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" t="s">
        <v>47</v>
      </c>
      <c r="B269" s="3" t="s">
        <v>51</v>
      </c>
      <c r="C269" s="3">
        <v>20.0</v>
      </c>
      <c r="D269" s="7">
        <v>0.0</v>
      </c>
      <c r="E269" s="3">
        <f t="shared" si="238"/>
        <v>0</v>
      </c>
      <c r="F269" s="7">
        <v>0.0</v>
      </c>
      <c r="G269" s="3">
        <f t="shared" si="239"/>
        <v>0</v>
      </c>
      <c r="H269" s="7">
        <v>0.0</v>
      </c>
      <c r="I269" s="3">
        <f t="shared" si="240"/>
        <v>0</v>
      </c>
      <c r="J269" s="3">
        <f t="shared" ref="J269:K269" si="277">D269+F269+H269</f>
        <v>0</v>
      </c>
      <c r="K269" s="3">
        <f t="shared" si="277"/>
        <v>0</v>
      </c>
      <c r="L269" s="6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" t="s">
        <v>47</v>
      </c>
      <c r="B270" s="3" t="s">
        <v>52</v>
      </c>
      <c r="C270" s="3">
        <v>25.0</v>
      </c>
      <c r="D270" s="7">
        <v>0.0</v>
      </c>
      <c r="E270" s="3">
        <f t="shared" si="238"/>
        <v>0</v>
      </c>
      <c r="F270" s="7">
        <v>0.0</v>
      </c>
      <c r="G270" s="3">
        <f t="shared" si="239"/>
        <v>0</v>
      </c>
      <c r="H270" s="7">
        <v>0.0</v>
      </c>
      <c r="I270" s="3">
        <f t="shared" si="240"/>
        <v>0</v>
      </c>
      <c r="J270" s="3">
        <f t="shared" ref="J270:K270" si="278">D270+F270+H270</f>
        <v>0</v>
      </c>
      <c r="K270" s="3">
        <f t="shared" si="278"/>
        <v>0</v>
      </c>
      <c r="L270" s="6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" t="s">
        <v>47</v>
      </c>
      <c r="B271" s="3" t="s">
        <v>53</v>
      </c>
      <c r="C271" s="3">
        <v>20.0</v>
      </c>
      <c r="D271" s="7">
        <v>0.0</v>
      </c>
      <c r="E271" s="3">
        <f t="shared" si="238"/>
        <v>0</v>
      </c>
      <c r="F271" s="7">
        <v>0.0</v>
      </c>
      <c r="G271" s="3">
        <f t="shared" si="239"/>
        <v>0</v>
      </c>
      <c r="H271" s="7">
        <v>0.0</v>
      </c>
      <c r="I271" s="3">
        <f t="shared" si="240"/>
        <v>0</v>
      </c>
      <c r="J271" s="3">
        <f t="shared" ref="J271:K271" si="279">D271+F271+H271</f>
        <v>0</v>
      </c>
      <c r="K271" s="3">
        <f t="shared" si="279"/>
        <v>0</v>
      </c>
      <c r="L271" s="6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" t="s">
        <v>54</v>
      </c>
      <c r="B272" s="3" t="s">
        <v>55</v>
      </c>
      <c r="C272" s="3">
        <v>149.0</v>
      </c>
      <c r="D272" s="7">
        <v>0.0</v>
      </c>
      <c r="E272" s="3">
        <f t="shared" si="238"/>
        <v>0</v>
      </c>
      <c r="F272" s="7">
        <v>0.0</v>
      </c>
      <c r="G272" s="3">
        <f t="shared" si="239"/>
        <v>0</v>
      </c>
      <c r="H272" s="7">
        <v>0.0</v>
      </c>
      <c r="I272" s="3">
        <f t="shared" si="240"/>
        <v>0</v>
      </c>
      <c r="J272" s="3">
        <f t="shared" ref="J272:K272" si="280">D272+F272+H272</f>
        <v>0</v>
      </c>
      <c r="K272" s="3">
        <f t="shared" si="280"/>
        <v>0</v>
      </c>
      <c r="L272" s="6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3" t="s">
        <v>54</v>
      </c>
      <c r="B273" s="3" t="s">
        <v>56</v>
      </c>
      <c r="C273" s="3">
        <v>149.0</v>
      </c>
      <c r="D273" s="7">
        <v>0.0</v>
      </c>
      <c r="E273" s="3">
        <f t="shared" si="238"/>
        <v>0</v>
      </c>
      <c r="F273" s="7">
        <v>0.0</v>
      </c>
      <c r="G273" s="3">
        <f t="shared" si="239"/>
        <v>0</v>
      </c>
      <c r="H273" s="7">
        <v>0.0</v>
      </c>
      <c r="I273" s="3">
        <f t="shared" si="240"/>
        <v>0</v>
      </c>
      <c r="J273" s="3">
        <f t="shared" ref="J273:K273" si="281">D273+F273+H273</f>
        <v>0</v>
      </c>
      <c r="K273" s="3">
        <f t="shared" si="281"/>
        <v>0</v>
      </c>
      <c r="L273" s="6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3" t="s">
        <v>54</v>
      </c>
      <c r="B274" s="3" t="s">
        <v>57</v>
      </c>
      <c r="C274" s="3">
        <v>149.0</v>
      </c>
      <c r="D274" s="7">
        <v>0.0</v>
      </c>
      <c r="E274" s="3">
        <f t="shared" si="238"/>
        <v>0</v>
      </c>
      <c r="F274" s="7">
        <v>0.0</v>
      </c>
      <c r="G274" s="3">
        <f t="shared" si="239"/>
        <v>0</v>
      </c>
      <c r="H274" s="7">
        <v>0.0</v>
      </c>
      <c r="I274" s="3">
        <f t="shared" si="240"/>
        <v>0</v>
      </c>
      <c r="J274" s="3">
        <f t="shared" ref="J274:K274" si="282">D274+F274+H274</f>
        <v>0</v>
      </c>
      <c r="K274" s="3">
        <f t="shared" si="282"/>
        <v>0</v>
      </c>
      <c r="L274" s="6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8" t="s">
        <v>58</v>
      </c>
      <c r="B275" s="9"/>
      <c r="C275" s="9"/>
      <c r="D275" s="9"/>
      <c r="E275" s="8">
        <f>SUM(E232:E274)</f>
        <v>893</v>
      </c>
      <c r="F275" s="9"/>
      <c r="G275" s="8">
        <f>SUM(G232:G274)</f>
        <v>0</v>
      </c>
      <c r="H275" s="9"/>
      <c r="I275" s="8">
        <f t="shared" ref="I275:K275" si="283">SUM(I232:I274)</f>
        <v>0</v>
      </c>
      <c r="J275" s="8">
        <f t="shared" si="283"/>
        <v>9</v>
      </c>
      <c r="K275" s="8">
        <f t="shared" si="283"/>
        <v>893</v>
      </c>
      <c r="L275" s="12">
        <v>46006.0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" t="s">
        <v>0</v>
      </c>
      <c r="B277" s="1" t="s">
        <v>1</v>
      </c>
      <c r="C277" s="1" t="s">
        <v>2</v>
      </c>
      <c r="D277" s="2" t="s">
        <v>3</v>
      </c>
      <c r="E277" s="1" t="s">
        <v>4</v>
      </c>
      <c r="F277" s="2" t="s">
        <v>5</v>
      </c>
      <c r="G277" s="1" t="s">
        <v>6</v>
      </c>
      <c r="H277" s="2" t="s">
        <v>7</v>
      </c>
      <c r="I277" s="1" t="s">
        <v>8</v>
      </c>
      <c r="J277" s="1" t="s">
        <v>9</v>
      </c>
      <c r="K277" s="1" t="s">
        <v>10</v>
      </c>
      <c r="L277" s="3" t="s">
        <v>11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" t="s">
        <v>12</v>
      </c>
      <c r="B278" s="3" t="s">
        <v>13</v>
      </c>
      <c r="C278" s="3">
        <v>189.0</v>
      </c>
      <c r="D278" s="7">
        <v>0.0</v>
      </c>
      <c r="E278" s="3">
        <f t="shared" ref="E278:E320" si="285">C278*D278</f>
        <v>0</v>
      </c>
      <c r="F278" s="7">
        <v>0.0</v>
      </c>
      <c r="G278" s="4">
        <f t="shared" ref="G278:G320" si="286">C278*F278</f>
        <v>0</v>
      </c>
      <c r="H278" s="7">
        <v>0.0</v>
      </c>
      <c r="I278" s="3">
        <f t="shared" ref="I278:I320" si="287">C278*H278</f>
        <v>0</v>
      </c>
      <c r="J278" s="3">
        <f t="shared" ref="J278:K278" si="284">D278+F278+H278</f>
        <v>0</v>
      </c>
      <c r="K278" s="3">
        <f t="shared" si="284"/>
        <v>0</v>
      </c>
      <c r="L278" s="6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" t="s">
        <v>12</v>
      </c>
      <c r="B279" s="3" t="s">
        <v>14</v>
      </c>
      <c r="C279" s="3">
        <v>189.0</v>
      </c>
      <c r="D279" s="7">
        <v>0.0</v>
      </c>
      <c r="E279" s="3">
        <f t="shared" si="285"/>
        <v>0</v>
      </c>
      <c r="F279" s="7">
        <v>0.0</v>
      </c>
      <c r="G279" s="3">
        <f t="shared" si="286"/>
        <v>0</v>
      </c>
      <c r="H279" s="7">
        <v>0.0</v>
      </c>
      <c r="I279" s="3">
        <f t="shared" si="287"/>
        <v>0</v>
      </c>
      <c r="J279" s="3">
        <f t="shared" ref="J279:K279" si="288">D279+F279+H279</f>
        <v>0</v>
      </c>
      <c r="K279" s="3">
        <f t="shared" si="288"/>
        <v>0</v>
      </c>
      <c r="L279" s="6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" t="s">
        <v>12</v>
      </c>
      <c r="B280" s="3" t="s">
        <v>15</v>
      </c>
      <c r="C280" s="3">
        <v>189.0</v>
      </c>
      <c r="D280" s="7">
        <v>0.0</v>
      </c>
      <c r="E280" s="3">
        <f t="shared" si="285"/>
        <v>0</v>
      </c>
      <c r="F280" s="7">
        <v>0.0</v>
      </c>
      <c r="G280" s="3">
        <f t="shared" si="286"/>
        <v>0</v>
      </c>
      <c r="H280" s="7">
        <v>0.0</v>
      </c>
      <c r="I280" s="3">
        <f t="shared" si="287"/>
        <v>0</v>
      </c>
      <c r="J280" s="3">
        <f t="shared" ref="J280:K280" si="289">D280+F280+H280</f>
        <v>0</v>
      </c>
      <c r="K280" s="3">
        <f t="shared" si="289"/>
        <v>0</v>
      </c>
      <c r="L280" s="6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" t="s">
        <v>12</v>
      </c>
      <c r="B281" s="3" t="s">
        <v>16</v>
      </c>
      <c r="C281" s="3">
        <v>189.0</v>
      </c>
      <c r="D281" s="7">
        <v>0.0</v>
      </c>
      <c r="E281" s="3">
        <f t="shared" si="285"/>
        <v>0</v>
      </c>
      <c r="F281" s="7">
        <v>0.0</v>
      </c>
      <c r="G281" s="3">
        <f t="shared" si="286"/>
        <v>0</v>
      </c>
      <c r="H281" s="7">
        <v>0.0</v>
      </c>
      <c r="I281" s="3">
        <f t="shared" si="287"/>
        <v>0</v>
      </c>
      <c r="J281" s="3">
        <f t="shared" ref="J281:K281" si="290">D281+F281+H281</f>
        <v>0</v>
      </c>
      <c r="K281" s="3">
        <f t="shared" si="290"/>
        <v>0</v>
      </c>
      <c r="L281" s="6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" t="s">
        <v>12</v>
      </c>
      <c r="B282" s="3" t="s">
        <v>17</v>
      </c>
      <c r="C282" s="3">
        <v>189.0</v>
      </c>
      <c r="D282" s="7">
        <v>0.0</v>
      </c>
      <c r="E282" s="3">
        <f t="shared" si="285"/>
        <v>0</v>
      </c>
      <c r="F282" s="7">
        <v>0.0</v>
      </c>
      <c r="G282" s="3">
        <f t="shared" si="286"/>
        <v>0</v>
      </c>
      <c r="H282" s="7">
        <v>0.0</v>
      </c>
      <c r="I282" s="3">
        <f t="shared" si="287"/>
        <v>0</v>
      </c>
      <c r="J282" s="3">
        <f t="shared" ref="J282:K282" si="291">D282+F282+H282</f>
        <v>0</v>
      </c>
      <c r="K282" s="3">
        <f t="shared" si="291"/>
        <v>0</v>
      </c>
      <c r="L282" s="6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" t="s">
        <v>12</v>
      </c>
      <c r="B283" s="3" t="s">
        <v>18</v>
      </c>
      <c r="C283" s="3">
        <v>189.0</v>
      </c>
      <c r="D283" s="7">
        <v>0.0</v>
      </c>
      <c r="E283" s="3">
        <f t="shared" si="285"/>
        <v>0</v>
      </c>
      <c r="F283" s="7">
        <v>0.0</v>
      </c>
      <c r="G283" s="3">
        <f t="shared" si="286"/>
        <v>0</v>
      </c>
      <c r="H283" s="7">
        <v>0.0</v>
      </c>
      <c r="I283" s="3">
        <f t="shared" si="287"/>
        <v>0</v>
      </c>
      <c r="J283" s="3">
        <f t="shared" ref="J283:K283" si="292">D283+F283+H283</f>
        <v>0</v>
      </c>
      <c r="K283" s="3">
        <f t="shared" si="292"/>
        <v>0</v>
      </c>
      <c r="L283" s="6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" t="s">
        <v>12</v>
      </c>
      <c r="B284" s="3" t="s">
        <v>19</v>
      </c>
      <c r="C284" s="3">
        <v>189.0</v>
      </c>
      <c r="D284" s="7">
        <v>0.0</v>
      </c>
      <c r="E284" s="3">
        <f t="shared" si="285"/>
        <v>0</v>
      </c>
      <c r="F284" s="7">
        <v>0.0</v>
      </c>
      <c r="G284" s="3">
        <f t="shared" si="286"/>
        <v>0</v>
      </c>
      <c r="H284" s="7">
        <v>0.0</v>
      </c>
      <c r="I284" s="3">
        <f t="shared" si="287"/>
        <v>0</v>
      </c>
      <c r="J284" s="3">
        <f t="shared" ref="J284:K284" si="293">D284+F284+H284</f>
        <v>0</v>
      </c>
      <c r="K284" s="3">
        <f t="shared" si="293"/>
        <v>0</v>
      </c>
      <c r="L284" s="6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" t="s">
        <v>12</v>
      </c>
      <c r="B285" s="3" t="s">
        <v>20</v>
      </c>
      <c r="C285" s="3">
        <v>189.0</v>
      </c>
      <c r="D285" s="7">
        <v>0.0</v>
      </c>
      <c r="E285" s="3">
        <f t="shared" si="285"/>
        <v>0</v>
      </c>
      <c r="F285" s="7">
        <v>0.0</v>
      </c>
      <c r="G285" s="3">
        <f t="shared" si="286"/>
        <v>0</v>
      </c>
      <c r="H285" s="7">
        <v>0.0</v>
      </c>
      <c r="I285" s="3">
        <f t="shared" si="287"/>
        <v>0</v>
      </c>
      <c r="J285" s="3">
        <f t="shared" ref="J285:K285" si="294">D285+F285+H285</f>
        <v>0</v>
      </c>
      <c r="K285" s="3">
        <f t="shared" si="294"/>
        <v>0</v>
      </c>
      <c r="L285" s="6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" t="s">
        <v>21</v>
      </c>
      <c r="B286" s="3" t="s">
        <v>20</v>
      </c>
      <c r="C286" s="3">
        <v>149.0</v>
      </c>
      <c r="D286" s="7">
        <v>0.0</v>
      </c>
      <c r="E286" s="3">
        <f t="shared" si="285"/>
        <v>0</v>
      </c>
      <c r="F286" s="7">
        <v>0.0</v>
      </c>
      <c r="G286" s="3">
        <f t="shared" si="286"/>
        <v>0</v>
      </c>
      <c r="H286" s="7">
        <v>0.0</v>
      </c>
      <c r="I286" s="3">
        <f t="shared" si="287"/>
        <v>0</v>
      </c>
      <c r="J286" s="3">
        <f t="shared" ref="J286:K286" si="295">D286+F286+H286</f>
        <v>0</v>
      </c>
      <c r="K286" s="3">
        <f t="shared" si="295"/>
        <v>0</v>
      </c>
      <c r="L286" s="6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" t="s">
        <v>21</v>
      </c>
      <c r="B287" s="3" t="s">
        <v>22</v>
      </c>
      <c r="C287" s="3">
        <v>149.0</v>
      </c>
      <c r="D287" s="7">
        <v>0.0</v>
      </c>
      <c r="E287" s="3">
        <f t="shared" si="285"/>
        <v>0</v>
      </c>
      <c r="F287" s="7">
        <v>0.0</v>
      </c>
      <c r="G287" s="3">
        <f t="shared" si="286"/>
        <v>0</v>
      </c>
      <c r="H287" s="7">
        <v>0.0</v>
      </c>
      <c r="I287" s="3">
        <f t="shared" si="287"/>
        <v>0</v>
      </c>
      <c r="J287" s="3">
        <f t="shared" ref="J287:K287" si="296">D287+F287+H287</f>
        <v>0</v>
      </c>
      <c r="K287" s="3">
        <f t="shared" si="296"/>
        <v>0</v>
      </c>
      <c r="L287" s="6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" t="s">
        <v>21</v>
      </c>
      <c r="B288" s="3" t="s">
        <v>23</v>
      </c>
      <c r="C288" s="3">
        <v>149.0</v>
      </c>
      <c r="D288" s="7">
        <v>0.0</v>
      </c>
      <c r="E288" s="3">
        <f t="shared" si="285"/>
        <v>0</v>
      </c>
      <c r="F288" s="7">
        <v>0.0</v>
      </c>
      <c r="G288" s="3">
        <f t="shared" si="286"/>
        <v>0</v>
      </c>
      <c r="H288" s="7">
        <v>0.0</v>
      </c>
      <c r="I288" s="3">
        <f t="shared" si="287"/>
        <v>0</v>
      </c>
      <c r="J288" s="3">
        <f t="shared" ref="J288:K288" si="297">D288+F288+H288</f>
        <v>0</v>
      </c>
      <c r="K288" s="3">
        <f t="shared" si="297"/>
        <v>0</v>
      </c>
      <c r="L288" s="6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" t="s">
        <v>21</v>
      </c>
      <c r="B289" s="3" t="s">
        <v>14</v>
      </c>
      <c r="C289" s="3">
        <v>149.0</v>
      </c>
      <c r="D289" s="7">
        <v>0.0</v>
      </c>
      <c r="E289" s="3">
        <f t="shared" si="285"/>
        <v>0</v>
      </c>
      <c r="F289" s="7">
        <v>0.0</v>
      </c>
      <c r="G289" s="3">
        <f t="shared" si="286"/>
        <v>0</v>
      </c>
      <c r="H289" s="7">
        <v>0.0</v>
      </c>
      <c r="I289" s="3">
        <f t="shared" si="287"/>
        <v>0</v>
      </c>
      <c r="J289" s="3">
        <f t="shared" ref="J289:K289" si="298">D289+F289+H289</f>
        <v>0</v>
      </c>
      <c r="K289" s="3">
        <f t="shared" si="298"/>
        <v>0</v>
      </c>
      <c r="L289" s="6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" t="s">
        <v>21</v>
      </c>
      <c r="B290" s="3" t="s">
        <v>24</v>
      </c>
      <c r="C290" s="3">
        <v>149.0</v>
      </c>
      <c r="D290" s="7">
        <v>0.0</v>
      </c>
      <c r="E290" s="3">
        <f t="shared" si="285"/>
        <v>0</v>
      </c>
      <c r="F290" s="7">
        <v>0.0</v>
      </c>
      <c r="G290" s="3">
        <f t="shared" si="286"/>
        <v>0</v>
      </c>
      <c r="H290" s="7">
        <v>0.0</v>
      </c>
      <c r="I290" s="3">
        <f t="shared" si="287"/>
        <v>0</v>
      </c>
      <c r="J290" s="3">
        <f t="shared" ref="J290:K290" si="299">D290+F290+H290</f>
        <v>0</v>
      </c>
      <c r="K290" s="3">
        <f t="shared" si="299"/>
        <v>0</v>
      </c>
      <c r="L290" s="6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" t="s">
        <v>21</v>
      </c>
      <c r="B291" s="3" t="s">
        <v>25</v>
      </c>
      <c r="C291" s="3">
        <v>149.0</v>
      </c>
      <c r="D291" s="7">
        <v>0.0</v>
      </c>
      <c r="E291" s="3">
        <f t="shared" si="285"/>
        <v>0</v>
      </c>
      <c r="F291" s="7">
        <v>0.0</v>
      </c>
      <c r="G291" s="3">
        <f t="shared" si="286"/>
        <v>0</v>
      </c>
      <c r="H291" s="7">
        <v>0.0</v>
      </c>
      <c r="I291" s="3">
        <f t="shared" si="287"/>
        <v>0</v>
      </c>
      <c r="J291" s="3">
        <f t="shared" ref="J291:K291" si="300">D291+F291+H291</f>
        <v>0</v>
      </c>
      <c r="K291" s="3">
        <f t="shared" si="300"/>
        <v>0</v>
      </c>
      <c r="L291" s="6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" t="s">
        <v>21</v>
      </c>
      <c r="B292" s="3" t="s">
        <v>26</v>
      </c>
      <c r="C292" s="3">
        <v>149.0</v>
      </c>
      <c r="D292" s="7">
        <v>0.0</v>
      </c>
      <c r="E292" s="3">
        <f t="shared" si="285"/>
        <v>0</v>
      </c>
      <c r="F292" s="7">
        <v>0.0</v>
      </c>
      <c r="G292" s="3">
        <f t="shared" si="286"/>
        <v>0</v>
      </c>
      <c r="H292" s="7">
        <v>0.0</v>
      </c>
      <c r="I292" s="3">
        <f t="shared" si="287"/>
        <v>0</v>
      </c>
      <c r="J292" s="3">
        <f t="shared" ref="J292:K292" si="301">D292+F292+H292</f>
        <v>0</v>
      </c>
      <c r="K292" s="3">
        <f t="shared" si="301"/>
        <v>0</v>
      </c>
      <c r="L292" s="6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" t="s">
        <v>21</v>
      </c>
      <c r="B293" s="3" t="s">
        <v>27</v>
      </c>
      <c r="C293" s="3">
        <v>149.0</v>
      </c>
      <c r="D293" s="7">
        <v>0.0</v>
      </c>
      <c r="E293" s="3">
        <f t="shared" si="285"/>
        <v>0</v>
      </c>
      <c r="F293" s="7">
        <v>0.0</v>
      </c>
      <c r="G293" s="3">
        <f t="shared" si="286"/>
        <v>0</v>
      </c>
      <c r="H293" s="7">
        <v>0.0</v>
      </c>
      <c r="I293" s="3">
        <f t="shared" si="287"/>
        <v>0</v>
      </c>
      <c r="J293" s="3">
        <f t="shared" ref="J293:K293" si="302">D293+F293+H293</f>
        <v>0</v>
      </c>
      <c r="K293" s="3">
        <f t="shared" si="302"/>
        <v>0</v>
      </c>
      <c r="L293" s="6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3" t="s">
        <v>21</v>
      </c>
      <c r="B294" s="3" t="s">
        <v>28</v>
      </c>
      <c r="C294" s="3">
        <v>149.0</v>
      </c>
      <c r="D294" s="7">
        <v>0.0</v>
      </c>
      <c r="E294" s="3">
        <f t="shared" si="285"/>
        <v>0</v>
      </c>
      <c r="F294" s="7">
        <v>0.0</v>
      </c>
      <c r="G294" s="3">
        <f t="shared" si="286"/>
        <v>0</v>
      </c>
      <c r="H294" s="7">
        <v>0.0</v>
      </c>
      <c r="I294" s="3">
        <f t="shared" si="287"/>
        <v>0</v>
      </c>
      <c r="J294" s="3">
        <f t="shared" ref="J294:K294" si="303">D294+F294+H294</f>
        <v>0</v>
      </c>
      <c r="K294" s="3">
        <f t="shared" si="303"/>
        <v>0</v>
      </c>
      <c r="L294" s="6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3" t="s">
        <v>21</v>
      </c>
      <c r="B295" s="3" t="s">
        <v>29</v>
      </c>
      <c r="C295" s="3">
        <v>149.0</v>
      </c>
      <c r="D295" s="7">
        <v>0.0</v>
      </c>
      <c r="E295" s="3">
        <f t="shared" si="285"/>
        <v>0</v>
      </c>
      <c r="F295" s="7">
        <v>0.0</v>
      </c>
      <c r="G295" s="3">
        <f t="shared" si="286"/>
        <v>0</v>
      </c>
      <c r="H295" s="7">
        <v>0.0</v>
      </c>
      <c r="I295" s="3">
        <f t="shared" si="287"/>
        <v>0</v>
      </c>
      <c r="J295" s="3">
        <f t="shared" ref="J295:K295" si="304">D295+F295+H295</f>
        <v>0</v>
      </c>
      <c r="K295" s="3">
        <f t="shared" si="304"/>
        <v>0</v>
      </c>
      <c r="L295" s="6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" t="s">
        <v>21</v>
      </c>
      <c r="B296" s="3" t="s">
        <v>30</v>
      </c>
      <c r="C296" s="3">
        <v>149.0</v>
      </c>
      <c r="D296" s="7">
        <v>0.0</v>
      </c>
      <c r="E296" s="3">
        <f t="shared" si="285"/>
        <v>0</v>
      </c>
      <c r="F296" s="7">
        <v>0.0</v>
      </c>
      <c r="G296" s="3">
        <f t="shared" si="286"/>
        <v>0</v>
      </c>
      <c r="H296" s="7">
        <v>0.0</v>
      </c>
      <c r="I296" s="3">
        <f t="shared" si="287"/>
        <v>0</v>
      </c>
      <c r="J296" s="3">
        <f t="shared" ref="J296:K296" si="305">D296+F296+H296</f>
        <v>0</v>
      </c>
      <c r="K296" s="3">
        <f t="shared" si="305"/>
        <v>0</v>
      </c>
      <c r="L296" s="6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" t="s">
        <v>21</v>
      </c>
      <c r="B297" s="3" t="s">
        <v>31</v>
      </c>
      <c r="C297" s="3">
        <v>149.0</v>
      </c>
      <c r="D297" s="7">
        <v>0.0</v>
      </c>
      <c r="E297" s="3">
        <f t="shared" si="285"/>
        <v>0</v>
      </c>
      <c r="F297" s="7">
        <v>0.0</v>
      </c>
      <c r="G297" s="3">
        <f t="shared" si="286"/>
        <v>0</v>
      </c>
      <c r="H297" s="7">
        <v>0.0</v>
      </c>
      <c r="I297" s="3">
        <f t="shared" si="287"/>
        <v>0</v>
      </c>
      <c r="J297" s="3">
        <f t="shared" ref="J297:K297" si="306">D297+F297+H297</f>
        <v>0</v>
      </c>
      <c r="K297" s="3">
        <f t="shared" si="306"/>
        <v>0</v>
      </c>
      <c r="L297" s="6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" t="s">
        <v>21</v>
      </c>
      <c r="B298" s="3" t="s">
        <v>32</v>
      </c>
      <c r="C298" s="3">
        <v>149.0</v>
      </c>
      <c r="D298" s="7">
        <v>0.0</v>
      </c>
      <c r="E298" s="3">
        <f t="shared" si="285"/>
        <v>0</v>
      </c>
      <c r="F298" s="7">
        <v>0.0</v>
      </c>
      <c r="G298" s="3">
        <f t="shared" si="286"/>
        <v>0</v>
      </c>
      <c r="H298" s="7">
        <v>0.0</v>
      </c>
      <c r="I298" s="3">
        <f t="shared" si="287"/>
        <v>0</v>
      </c>
      <c r="J298" s="3">
        <f t="shared" ref="J298:K298" si="307">D298+F298+H298</f>
        <v>0</v>
      </c>
      <c r="K298" s="3">
        <f t="shared" si="307"/>
        <v>0</v>
      </c>
      <c r="L298" s="6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" t="s">
        <v>33</v>
      </c>
      <c r="B299" s="3" t="s">
        <v>34</v>
      </c>
      <c r="C299" s="3">
        <v>159.0</v>
      </c>
      <c r="D299" s="7">
        <v>0.0</v>
      </c>
      <c r="E299" s="3">
        <f t="shared" si="285"/>
        <v>0</v>
      </c>
      <c r="F299" s="7">
        <v>0.0</v>
      </c>
      <c r="G299" s="3">
        <f t="shared" si="286"/>
        <v>0</v>
      </c>
      <c r="H299" s="7">
        <v>0.0</v>
      </c>
      <c r="I299" s="3">
        <f t="shared" si="287"/>
        <v>0</v>
      </c>
      <c r="J299" s="3">
        <f t="shared" ref="J299:K299" si="308">D299+F299+H299</f>
        <v>0</v>
      </c>
      <c r="K299" s="3">
        <f t="shared" si="308"/>
        <v>0</v>
      </c>
      <c r="L299" s="6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" t="s">
        <v>33</v>
      </c>
      <c r="B300" s="3" t="s">
        <v>35</v>
      </c>
      <c r="C300" s="3">
        <v>159.0</v>
      </c>
      <c r="D300" s="7">
        <v>0.0</v>
      </c>
      <c r="E300" s="3">
        <f t="shared" si="285"/>
        <v>0</v>
      </c>
      <c r="F300" s="7">
        <v>0.0</v>
      </c>
      <c r="G300" s="3">
        <f t="shared" si="286"/>
        <v>0</v>
      </c>
      <c r="H300" s="7">
        <v>0.0</v>
      </c>
      <c r="I300" s="3">
        <f t="shared" si="287"/>
        <v>0</v>
      </c>
      <c r="J300" s="3">
        <f t="shared" ref="J300:K300" si="309">D300+F300+H300</f>
        <v>0</v>
      </c>
      <c r="K300" s="3">
        <f t="shared" si="309"/>
        <v>0</v>
      </c>
      <c r="L300" s="6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3" t="s">
        <v>33</v>
      </c>
      <c r="B301" s="3" t="s">
        <v>36</v>
      </c>
      <c r="C301" s="3">
        <v>159.0</v>
      </c>
      <c r="D301" s="7">
        <v>0.0</v>
      </c>
      <c r="E301" s="3">
        <f t="shared" si="285"/>
        <v>0</v>
      </c>
      <c r="F301" s="7">
        <v>0.0</v>
      </c>
      <c r="G301" s="3">
        <f t="shared" si="286"/>
        <v>0</v>
      </c>
      <c r="H301" s="7">
        <v>0.0</v>
      </c>
      <c r="I301" s="3">
        <f t="shared" si="287"/>
        <v>0</v>
      </c>
      <c r="J301" s="3">
        <f t="shared" ref="J301:K301" si="310">D301+F301+H301</f>
        <v>0</v>
      </c>
      <c r="K301" s="3">
        <f t="shared" si="310"/>
        <v>0</v>
      </c>
      <c r="L301" s="6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3" t="s">
        <v>33</v>
      </c>
      <c r="B302" s="3" t="s">
        <v>37</v>
      </c>
      <c r="C302" s="3">
        <v>159.0</v>
      </c>
      <c r="D302" s="7">
        <v>0.0</v>
      </c>
      <c r="E302" s="3">
        <f t="shared" si="285"/>
        <v>0</v>
      </c>
      <c r="F302" s="7">
        <v>0.0</v>
      </c>
      <c r="G302" s="3">
        <f t="shared" si="286"/>
        <v>0</v>
      </c>
      <c r="H302" s="7">
        <v>0.0</v>
      </c>
      <c r="I302" s="3">
        <f t="shared" si="287"/>
        <v>0</v>
      </c>
      <c r="J302" s="3">
        <f t="shared" ref="J302:K302" si="311">D302+F302+H302</f>
        <v>0</v>
      </c>
      <c r="K302" s="3">
        <f t="shared" si="311"/>
        <v>0</v>
      </c>
      <c r="L302" s="6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" t="s">
        <v>38</v>
      </c>
      <c r="B303" s="3" t="s">
        <v>31</v>
      </c>
      <c r="C303" s="3">
        <v>99.0</v>
      </c>
      <c r="D303" s="7">
        <v>0.0</v>
      </c>
      <c r="E303" s="3">
        <f t="shared" si="285"/>
        <v>0</v>
      </c>
      <c r="F303" s="7">
        <v>0.0</v>
      </c>
      <c r="G303" s="3">
        <f t="shared" si="286"/>
        <v>0</v>
      </c>
      <c r="H303" s="7">
        <v>0.0</v>
      </c>
      <c r="I303" s="3">
        <f t="shared" si="287"/>
        <v>0</v>
      </c>
      <c r="J303" s="3">
        <f t="shared" ref="J303:K303" si="312">D303+F303+H303</f>
        <v>0</v>
      </c>
      <c r="K303" s="3">
        <f t="shared" si="312"/>
        <v>0</v>
      </c>
      <c r="L303" s="6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" t="s">
        <v>38</v>
      </c>
      <c r="B304" s="3" t="s">
        <v>24</v>
      </c>
      <c r="C304" s="3">
        <v>99.0</v>
      </c>
      <c r="D304" s="7">
        <v>0.0</v>
      </c>
      <c r="E304" s="3">
        <f t="shared" si="285"/>
        <v>0</v>
      </c>
      <c r="F304" s="7">
        <v>0.0</v>
      </c>
      <c r="G304" s="3">
        <f t="shared" si="286"/>
        <v>0</v>
      </c>
      <c r="H304" s="7">
        <v>0.0</v>
      </c>
      <c r="I304" s="3">
        <f t="shared" si="287"/>
        <v>0</v>
      </c>
      <c r="J304" s="3">
        <f t="shared" ref="J304:K304" si="313">D304+F304+H304</f>
        <v>0</v>
      </c>
      <c r="K304" s="3">
        <f t="shared" si="313"/>
        <v>0</v>
      </c>
      <c r="L304" s="6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" t="s">
        <v>38</v>
      </c>
      <c r="B305" s="3" t="s">
        <v>39</v>
      </c>
      <c r="C305" s="3">
        <v>99.0</v>
      </c>
      <c r="D305" s="7">
        <v>0.0</v>
      </c>
      <c r="E305" s="3">
        <f t="shared" si="285"/>
        <v>0</v>
      </c>
      <c r="F305" s="7">
        <v>0.0</v>
      </c>
      <c r="G305" s="3">
        <f t="shared" si="286"/>
        <v>0</v>
      </c>
      <c r="H305" s="7">
        <v>0.0</v>
      </c>
      <c r="I305" s="3">
        <f t="shared" si="287"/>
        <v>0</v>
      </c>
      <c r="J305" s="3">
        <f t="shared" ref="J305:K305" si="314">D305+F305+H305</f>
        <v>0</v>
      </c>
      <c r="K305" s="3">
        <f t="shared" si="314"/>
        <v>0</v>
      </c>
      <c r="L305" s="6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" t="s">
        <v>38</v>
      </c>
      <c r="B306" s="3" t="s">
        <v>40</v>
      </c>
      <c r="C306" s="3">
        <v>99.0</v>
      </c>
      <c r="D306" s="7">
        <v>0.0</v>
      </c>
      <c r="E306" s="3">
        <f t="shared" si="285"/>
        <v>0</v>
      </c>
      <c r="F306" s="7">
        <v>0.0</v>
      </c>
      <c r="G306" s="3">
        <f t="shared" si="286"/>
        <v>0</v>
      </c>
      <c r="H306" s="7">
        <v>0.0</v>
      </c>
      <c r="I306" s="3">
        <f t="shared" si="287"/>
        <v>0</v>
      </c>
      <c r="J306" s="3">
        <f t="shared" ref="J306:K306" si="315">D306+F306+H306</f>
        <v>0</v>
      </c>
      <c r="K306" s="3">
        <f t="shared" si="315"/>
        <v>0</v>
      </c>
      <c r="L306" s="6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" t="s">
        <v>38</v>
      </c>
      <c r="B307" s="3" t="s">
        <v>41</v>
      </c>
      <c r="C307" s="3">
        <v>99.0</v>
      </c>
      <c r="D307" s="7">
        <v>0.0</v>
      </c>
      <c r="E307" s="3">
        <f t="shared" si="285"/>
        <v>0</v>
      </c>
      <c r="F307" s="7">
        <v>0.0</v>
      </c>
      <c r="G307" s="3">
        <f t="shared" si="286"/>
        <v>0</v>
      </c>
      <c r="H307" s="7">
        <v>0.0</v>
      </c>
      <c r="I307" s="3">
        <f t="shared" si="287"/>
        <v>0</v>
      </c>
      <c r="J307" s="3">
        <f t="shared" ref="J307:K307" si="316">D307+F307+H307</f>
        <v>0</v>
      </c>
      <c r="K307" s="3">
        <f t="shared" si="316"/>
        <v>0</v>
      </c>
      <c r="L307" s="6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3" t="s">
        <v>42</v>
      </c>
      <c r="B308" s="3" t="s">
        <v>43</v>
      </c>
      <c r="C308" s="3">
        <v>149.0</v>
      </c>
      <c r="D308" s="7">
        <v>0.0</v>
      </c>
      <c r="E308" s="3">
        <f t="shared" si="285"/>
        <v>0</v>
      </c>
      <c r="F308" s="7">
        <v>0.0</v>
      </c>
      <c r="G308" s="3">
        <f t="shared" si="286"/>
        <v>0</v>
      </c>
      <c r="H308" s="7">
        <v>0.0</v>
      </c>
      <c r="I308" s="3">
        <f t="shared" si="287"/>
        <v>0</v>
      </c>
      <c r="J308" s="3">
        <f t="shared" ref="J308:K308" si="317">D308+F308+H308</f>
        <v>0</v>
      </c>
      <c r="K308" s="3">
        <f t="shared" si="317"/>
        <v>0</v>
      </c>
      <c r="L308" s="6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3" t="s">
        <v>42</v>
      </c>
      <c r="B309" s="3" t="s">
        <v>44</v>
      </c>
      <c r="C309" s="3">
        <v>149.0</v>
      </c>
      <c r="D309" s="7">
        <v>0.0</v>
      </c>
      <c r="E309" s="3">
        <f t="shared" si="285"/>
        <v>0</v>
      </c>
      <c r="F309" s="7">
        <v>0.0</v>
      </c>
      <c r="G309" s="3">
        <f t="shared" si="286"/>
        <v>0</v>
      </c>
      <c r="H309" s="7">
        <v>0.0</v>
      </c>
      <c r="I309" s="3">
        <f t="shared" si="287"/>
        <v>0</v>
      </c>
      <c r="J309" s="3">
        <f t="shared" ref="J309:K309" si="318">D309+F309+H309</f>
        <v>0</v>
      </c>
      <c r="K309" s="3">
        <f t="shared" si="318"/>
        <v>0</v>
      </c>
      <c r="L309" s="6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" t="s">
        <v>42</v>
      </c>
      <c r="B310" s="3" t="s">
        <v>45</v>
      </c>
      <c r="C310" s="3">
        <v>149.0</v>
      </c>
      <c r="D310" s="7">
        <v>0.0</v>
      </c>
      <c r="E310" s="3">
        <f t="shared" si="285"/>
        <v>0</v>
      </c>
      <c r="F310" s="7">
        <v>0.0</v>
      </c>
      <c r="G310" s="3">
        <f t="shared" si="286"/>
        <v>0</v>
      </c>
      <c r="H310" s="7">
        <v>0.0</v>
      </c>
      <c r="I310" s="3">
        <f t="shared" si="287"/>
        <v>0</v>
      </c>
      <c r="J310" s="3">
        <f t="shared" ref="J310:K310" si="319">D310+F310+H310</f>
        <v>0</v>
      </c>
      <c r="K310" s="3">
        <f t="shared" si="319"/>
        <v>0</v>
      </c>
      <c r="L310" s="6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" t="s">
        <v>42</v>
      </c>
      <c r="B311" s="3" t="s">
        <v>46</v>
      </c>
      <c r="C311" s="3">
        <v>149.0</v>
      </c>
      <c r="D311" s="7">
        <v>0.0</v>
      </c>
      <c r="E311" s="3">
        <f t="shared" si="285"/>
        <v>0</v>
      </c>
      <c r="F311" s="7">
        <v>0.0</v>
      </c>
      <c r="G311" s="3">
        <f t="shared" si="286"/>
        <v>0</v>
      </c>
      <c r="H311" s="7">
        <v>0.0</v>
      </c>
      <c r="I311" s="3">
        <f t="shared" si="287"/>
        <v>0</v>
      </c>
      <c r="J311" s="3">
        <f t="shared" ref="J311:K311" si="320">D311+F311+H311</f>
        <v>0</v>
      </c>
      <c r="K311" s="3">
        <f t="shared" si="320"/>
        <v>0</v>
      </c>
      <c r="L311" s="6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" t="s">
        <v>47</v>
      </c>
      <c r="B312" s="3" t="s">
        <v>48</v>
      </c>
      <c r="C312" s="3">
        <v>25.0</v>
      </c>
      <c r="D312" s="7">
        <v>0.0</v>
      </c>
      <c r="E312" s="3">
        <f t="shared" si="285"/>
        <v>0</v>
      </c>
      <c r="F312" s="7">
        <v>0.0</v>
      </c>
      <c r="G312" s="3">
        <f t="shared" si="286"/>
        <v>0</v>
      </c>
      <c r="H312" s="7">
        <v>0.0</v>
      </c>
      <c r="I312" s="3">
        <f t="shared" si="287"/>
        <v>0</v>
      </c>
      <c r="J312" s="3">
        <f t="shared" ref="J312:K312" si="321">D312+F312+H312</f>
        <v>0</v>
      </c>
      <c r="K312" s="3">
        <f t="shared" si="321"/>
        <v>0</v>
      </c>
      <c r="L312" s="6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" t="s">
        <v>47</v>
      </c>
      <c r="B313" s="3" t="s">
        <v>49</v>
      </c>
      <c r="C313" s="3">
        <v>20.0</v>
      </c>
      <c r="D313" s="7">
        <v>0.0</v>
      </c>
      <c r="E313" s="3">
        <f t="shared" si="285"/>
        <v>0</v>
      </c>
      <c r="F313" s="7">
        <v>0.0</v>
      </c>
      <c r="G313" s="3">
        <f t="shared" si="286"/>
        <v>0</v>
      </c>
      <c r="H313" s="7">
        <v>0.0</v>
      </c>
      <c r="I313" s="3">
        <f t="shared" si="287"/>
        <v>0</v>
      </c>
      <c r="J313" s="3">
        <f t="shared" ref="J313:K313" si="322">D313+F313+H313</f>
        <v>0</v>
      </c>
      <c r="K313" s="3">
        <f t="shared" si="322"/>
        <v>0</v>
      </c>
      <c r="L313" s="6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" t="s">
        <v>47</v>
      </c>
      <c r="B314" s="3" t="s">
        <v>50</v>
      </c>
      <c r="C314" s="3">
        <v>20.0</v>
      </c>
      <c r="D314" s="7">
        <v>0.0</v>
      </c>
      <c r="E314" s="3">
        <f t="shared" si="285"/>
        <v>0</v>
      </c>
      <c r="F314" s="7">
        <v>0.0</v>
      </c>
      <c r="G314" s="3">
        <f t="shared" si="286"/>
        <v>0</v>
      </c>
      <c r="H314" s="7">
        <v>0.0</v>
      </c>
      <c r="I314" s="3">
        <f t="shared" si="287"/>
        <v>0</v>
      </c>
      <c r="J314" s="3">
        <f t="shared" ref="J314:K314" si="323">D314+F314+H314</f>
        <v>0</v>
      </c>
      <c r="K314" s="3">
        <f t="shared" si="323"/>
        <v>0</v>
      </c>
      <c r="L314" s="6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3" t="s">
        <v>47</v>
      </c>
      <c r="B315" s="3" t="s">
        <v>51</v>
      </c>
      <c r="C315" s="3">
        <v>20.0</v>
      </c>
      <c r="D315" s="7">
        <v>0.0</v>
      </c>
      <c r="E315" s="3">
        <f t="shared" si="285"/>
        <v>0</v>
      </c>
      <c r="F315" s="7">
        <v>0.0</v>
      </c>
      <c r="G315" s="3">
        <f t="shared" si="286"/>
        <v>0</v>
      </c>
      <c r="H315" s="7">
        <v>0.0</v>
      </c>
      <c r="I315" s="3">
        <f t="shared" si="287"/>
        <v>0</v>
      </c>
      <c r="J315" s="3">
        <f t="shared" ref="J315:K315" si="324">D315+F315+H315</f>
        <v>0</v>
      </c>
      <c r="K315" s="3">
        <f t="shared" si="324"/>
        <v>0</v>
      </c>
      <c r="L315" s="6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3" t="s">
        <v>47</v>
      </c>
      <c r="B316" s="3" t="s">
        <v>52</v>
      </c>
      <c r="C316" s="3">
        <v>25.0</v>
      </c>
      <c r="D316" s="7">
        <v>0.0</v>
      </c>
      <c r="E316" s="3">
        <f t="shared" si="285"/>
        <v>0</v>
      </c>
      <c r="F316" s="7">
        <v>0.0</v>
      </c>
      <c r="G316" s="3">
        <f t="shared" si="286"/>
        <v>0</v>
      </c>
      <c r="H316" s="7">
        <v>0.0</v>
      </c>
      <c r="I316" s="3">
        <f t="shared" si="287"/>
        <v>0</v>
      </c>
      <c r="J316" s="3">
        <f t="shared" ref="J316:K316" si="325">D316+F316+H316</f>
        <v>0</v>
      </c>
      <c r="K316" s="3">
        <f t="shared" si="325"/>
        <v>0</v>
      </c>
      <c r="L316" s="6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" t="s">
        <v>47</v>
      </c>
      <c r="B317" s="3" t="s">
        <v>53</v>
      </c>
      <c r="C317" s="3">
        <v>20.0</v>
      </c>
      <c r="D317" s="7">
        <v>0.0</v>
      </c>
      <c r="E317" s="3">
        <f t="shared" si="285"/>
        <v>0</v>
      </c>
      <c r="F317" s="7">
        <v>0.0</v>
      </c>
      <c r="G317" s="3">
        <f t="shared" si="286"/>
        <v>0</v>
      </c>
      <c r="H317" s="7">
        <v>0.0</v>
      </c>
      <c r="I317" s="3">
        <f t="shared" si="287"/>
        <v>0</v>
      </c>
      <c r="J317" s="3">
        <f t="shared" ref="J317:K317" si="326">D317+F317+H317</f>
        <v>0</v>
      </c>
      <c r="K317" s="3">
        <f t="shared" si="326"/>
        <v>0</v>
      </c>
      <c r="L317" s="6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" t="s">
        <v>54</v>
      </c>
      <c r="B318" s="3" t="s">
        <v>55</v>
      </c>
      <c r="C318" s="3">
        <v>149.0</v>
      </c>
      <c r="D318" s="7">
        <v>0.0</v>
      </c>
      <c r="E318" s="3">
        <f t="shared" si="285"/>
        <v>0</v>
      </c>
      <c r="F318" s="7">
        <v>0.0</v>
      </c>
      <c r="G318" s="3">
        <f t="shared" si="286"/>
        <v>0</v>
      </c>
      <c r="H318" s="7">
        <v>0.0</v>
      </c>
      <c r="I318" s="3">
        <f t="shared" si="287"/>
        <v>0</v>
      </c>
      <c r="J318" s="3">
        <f t="shared" ref="J318:K318" si="327">D318+F318+H318</f>
        <v>0</v>
      </c>
      <c r="K318" s="3">
        <f t="shared" si="327"/>
        <v>0</v>
      </c>
      <c r="L318" s="6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" t="s">
        <v>54</v>
      </c>
      <c r="B319" s="3" t="s">
        <v>56</v>
      </c>
      <c r="C319" s="3">
        <v>149.0</v>
      </c>
      <c r="D319" s="7">
        <v>0.0</v>
      </c>
      <c r="E319" s="3">
        <f t="shared" si="285"/>
        <v>0</v>
      </c>
      <c r="F319" s="7">
        <v>0.0</v>
      </c>
      <c r="G319" s="3">
        <f t="shared" si="286"/>
        <v>0</v>
      </c>
      <c r="H319" s="7">
        <v>0.0</v>
      </c>
      <c r="I319" s="3">
        <f t="shared" si="287"/>
        <v>0</v>
      </c>
      <c r="J319" s="3">
        <f t="shared" ref="J319:K319" si="328">D319+F319+H319</f>
        <v>0</v>
      </c>
      <c r="K319" s="3">
        <f t="shared" si="328"/>
        <v>0</v>
      </c>
      <c r="L319" s="6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" t="s">
        <v>54</v>
      </c>
      <c r="B320" s="3" t="s">
        <v>57</v>
      </c>
      <c r="C320" s="3">
        <v>149.0</v>
      </c>
      <c r="D320" s="7">
        <v>0.0</v>
      </c>
      <c r="E320" s="3">
        <f t="shared" si="285"/>
        <v>0</v>
      </c>
      <c r="F320" s="7">
        <v>0.0</v>
      </c>
      <c r="G320" s="3">
        <f t="shared" si="286"/>
        <v>0</v>
      </c>
      <c r="H320" s="7">
        <v>0.0</v>
      </c>
      <c r="I320" s="3">
        <f t="shared" si="287"/>
        <v>0</v>
      </c>
      <c r="J320" s="3">
        <f t="shared" ref="J320:K320" si="329">D320+F320+H320</f>
        <v>0</v>
      </c>
      <c r="K320" s="3">
        <f t="shared" si="329"/>
        <v>0</v>
      </c>
      <c r="L320" s="6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3" t="s">
        <v>58</v>
      </c>
      <c r="B321" s="14"/>
      <c r="C321" s="14"/>
      <c r="D321" s="14"/>
      <c r="E321" s="13">
        <f>SUM(E278:E320)</f>
        <v>0</v>
      </c>
      <c r="F321" s="14"/>
      <c r="G321" s="13">
        <f>SUM(G278:G320)</f>
        <v>0</v>
      </c>
      <c r="H321" s="14"/>
      <c r="I321" s="13">
        <f t="shared" ref="I321:K321" si="330">SUM(I278:I320)</f>
        <v>0</v>
      </c>
      <c r="J321" s="13">
        <f t="shared" si="330"/>
        <v>0</v>
      </c>
      <c r="K321" s="13">
        <f t="shared" si="330"/>
        <v>0</v>
      </c>
      <c r="L321" s="15">
        <v>46007.0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" t="s">
        <v>0</v>
      </c>
      <c r="B323" s="1" t="s">
        <v>1</v>
      </c>
      <c r="C323" s="1" t="s">
        <v>2</v>
      </c>
      <c r="D323" s="2" t="s">
        <v>3</v>
      </c>
      <c r="E323" s="1" t="s">
        <v>4</v>
      </c>
      <c r="F323" s="2" t="s">
        <v>5</v>
      </c>
      <c r="G323" s="1" t="s">
        <v>6</v>
      </c>
      <c r="H323" s="2" t="s">
        <v>7</v>
      </c>
      <c r="I323" s="1" t="s">
        <v>8</v>
      </c>
      <c r="J323" s="1" t="s">
        <v>9</v>
      </c>
      <c r="K323" s="1" t="s">
        <v>10</v>
      </c>
      <c r="L323" s="3" t="s">
        <v>11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" t="s">
        <v>12</v>
      </c>
      <c r="B324" s="3" t="s">
        <v>13</v>
      </c>
      <c r="C324" s="3">
        <v>189.0</v>
      </c>
      <c r="D324" s="7">
        <v>0.0</v>
      </c>
      <c r="E324" s="3">
        <f t="shared" ref="E324:E366" si="332">C324*D324</f>
        <v>0</v>
      </c>
      <c r="F324" s="7">
        <v>0.0</v>
      </c>
      <c r="G324" s="4">
        <f t="shared" ref="G324:G366" si="333">C324*F324</f>
        <v>0</v>
      </c>
      <c r="H324" s="7">
        <v>0.0</v>
      </c>
      <c r="I324" s="3">
        <f t="shared" ref="I324:I366" si="334">C324*H324</f>
        <v>0</v>
      </c>
      <c r="J324" s="3">
        <f t="shared" ref="J324:K324" si="331">D324+F324+H324</f>
        <v>0</v>
      </c>
      <c r="K324" s="3">
        <f t="shared" si="331"/>
        <v>0</v>
      </c>
      <c r="L324" s="6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" t="s">
        <v>12</v>
      </c>
      <c r="B325" s="3" t="s">
        <v>14</v>
      </c>
      <c r="C325" s="3">
        <v>189.0</v>
      </c>
      <c r="D325" s="7">
        <v>0.0</v>
      </c>
      <c r="E325" s="3">
        <f t="shared" si="332"/>
        <v>0</v>
      </c>
      <c r="F325" s="7">
        <v>0.0</v>
      </c>
      <c r="G325" s="3">
        <f t="shared" si="333"/>
        <v>0</v>
      </c>
      <c r="H325" s="7">
        <v>0.0</v>
      </c>
      <c r="I325" s="3">
        <f t="shared" si="334"/>
        <v>0</v>
      </c>
      <c r="J325" s="3">
        <f t="shared" ref="J325:K325" si="335">D325+F325+H325</f>
        <v>0</v>
      </c>
      <c r="K325" s="3">
        <f t="shared" si="335"/>
        <v>0</v>
      </c>
      <c r="L325" s="6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" t="s">
        <v>12</v>
      </c>
      <c r="B326" s="3" t="s">
        <v>15</v>
      </c>
      <c r="C326" s="3">
        <v>189.0</v>
      </c>
      <c r="D326" s="7">
        <v>0.0</v>
      </c>
      <c r="E326" s="3">
        <f t="shared" si="332"/>
        <v>0</v>
      </c>
      <c r="F326" s="7">
        <v>0.0</v>
      </c>
      <c r="G326" s="3">
        <f t="shared" si="333"/>
        <v>0</v>
      </c>
      <c r="H326" s="7">
        <v>0.0</v>
      </c>
      <c r="I326" s="3">
        <f t="shared" si="334"/>
        <v>0</v>
      </c>
      <c r="J326" s="3">
        <f t="shared" ref="J326:K326" si="336">D326+F326+H326</f>
        <v>0</v>
      </c>
      <c r="K326" s="3">
        <f t="shared" si="336"/>
        <v>0</v>
      </c>
      <c r="L326" s="6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" t="s">
        <v>12</v>
      </c>
      <c r="B327" s="3" t="s">
        <v>16</v>
      </c>
      <c r="C327" s="3">
        <v>189.0</v>
      </c>
      <c r="D327" s="7">
        <v>0.0</v>
      </c>
      <c r="E327" s="3">
        <f t="shared" si="332"/>
        <v>0</v>
      </c>
      <c r="F327" s="7">
        <v>0.0</v>
      </c>
      <c r="G327" s="3">
        <f t="shared" si="333"/>
        <v>0</v>
      </c>
      <c r="H327" s="7">
        <v>0.0</v>
      </c>
      <c r="I327" s="3">
        <f t="shared" si="334"/>
        <v>0</v>
      </c>
      <c r="J327" s="3">
        <f t="shared" ref="J327:K327" si="337">D327+F327+H327</f>
        <v>0</v>
      </c>
      <c r="K327" s="3">
        <f t="shared" si="337"/>
        <v>0</v>
      </c>
      <c r="L327" s="6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" t="s">
        <v>12</v>
      </c>
      <c r="B328" s="3" t="s">
        <v>17</v>
      </c>
      <c r="C328" s="3">
        <v>189.0</v>
      </c>
      <c r="D328" s="7">
        <v>0.0</v>
      </c>
      <c r="E328" s="3">
        <f t="shared" si="332"/>
        <v>0</v>
      </c>
      <c r="F328" s="7">
        <v>0.0</v>
      </c>
      <c r="G328" s="3">
        <f t="shared" si="333"/>
        <v>0</v>
      </c>
      <c r="H328" s="7">
        <v>0.0</v>
      </c>
      <c r="I328" s="3">
        <f t="shared" si="334"/>
        <v>0</v>
      </c>
      <c r="J328" s="3">
        <f t="shared" ref="J328:K328" si="338">D328+F328+H328</f>
        <v>0</v>
      </c>
      <c r="K328" s="3">
        <f t="shared" si="338"/>
        <v>0</v>
      </c>
      <c r="L328" s="6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3" t="s">
        <v>12</v>
      </c>
      <c r="B329" s="3" t="s">
        <v>18</v>
      </c>
      <c r="C329" s="3">
        <v>189.0</v>
      </c>
      <c r="D329" s="7">
        <v>0.0</v>
      </c>
      <c r="E329" s="3">
        <f t="shared" si="332"/>
        <v>0</v>
      </c>
      <c r="F329" s="7">
        <v>0.0</v>
      </c>
      <c r="G329" s="3">
        <f t="shared" si="333"/>
        <v>0</v>
      </c>
      <c r="H329" s="7">
        <v>0.0</v>
      </c>
      <c r="I329" s="3">
        <f t="shared" si="334"/>
        <v>0</v>
      </c>
      <c r="J329" s="3">
        <f t="shared" ref="J329:K329" si="339">D329+F329+H329</f>
        <v>0</v>
      </c>
      <c r="K329" s="3">
        <f t="shared" si="339"/>
        <v>0</v>
      </c>
      <c r="L329" s="6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3" t="s">
        <v>12</v>
      </c>
      <c r="B330" s="3" t="s">
        <v>19</v>
      </c>
      <c r="C330" s="3">
        <v>189.0</v>
      </c>
      <c r="D330" s="7">
        <v>0.0</v>
      </c>
      <c r="E330" s="3">
        <f t="shared" si="332"/>
        <v>0</v>
      </c>
      <c r="F330" s="7">
        <v>0.0</v>
      </c>
      <c r="G330" s="3">
        <f t="shared" si="333"/>
        <v>0</v>
      </c>
      <c r="H330" s="7">
        <v>0.0</v>
      </c>
      <c r="I330" s="3">
        <f t="shared" si="334"/>
        <v>0</v>
      </c>
      <c r="J330" s="3">
        <f t="shared" ref="J330:K330" si="340">D330+F330+H330</f>
        <v>0</v>
      </c>
      <c r="K330" s="3">
        <f t="shared" si="340"/>
        <v>0</v>
      </c>
      <c r="L330" s="6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" t="s">
        <v>12</v>
      </c>
      <c r="B331" s="3" t="s">
        <v>20</v>
      </c>
      <c r="C331" s="3">
        <v>189.0</v>
      </c>
      <c r="D331" s="7">
        <v>0.0</v>
      </c>
      <c r="E331" s="3">
        <f t="shared" si="332"/>
        <v>0</v>
      </c>
      <c r="F331" s="7">
        <v>0.0</v>
      </c>
      <c r="G331" s="3">
        <f t="shared" si="333"/>
        <v>0</v>
      </c>
      <c r="H331" s="7">
        <v>0.0</v>
      </c>
      <c r="I331" s="3">
        <f t="shared" si="334"/>
        <v>0</v>
      </c>
      <c r="J331" s="3">
        <f t="shared" ref="J331:K331" si="341">D331+F331+H331</f>
        <v>0</v>
      </c>
      <c r="K331" s="3">
        <f t="shared" si="341"/>
        <v>0</v>
      </c>
      <c r="L331" s="6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" t="s">
        <v>21</v>
      </c>
      <c r="B332" s="3" t="s">
        <v>20</v>
      </c>
      <c r="C332" s="3">
        <v>149.0</v>
      </c>
      <c r="D332" s="7">
        <v>2.0</v>
      </c>
      <c r="E332" s="3">
        <f t="shared" si="332"/>
        <v>298</v>
      </c>
      <c r="F332" s="7">
        <v>0.0</v>
      </c>
      <c r="G332" s="3">
        <f t="shared" si="333"/>
        <v>0</v>
      </c>
      <c r="H332" s="7">
        <v>0.0</v>
      </c>
      <c r="I332" s="3">
        <f t="shared" si="334"/>
        <v>0</v>
      </c>
      <c r="J332" s="3">
        <f t="shared" ref="J332:K332" si="342">D332+F332+H332</f>
        <v>2</v>
      </c>
      <c r="K332" s="3">
        <f t="shared" si="342"/>
        <v>298</v>
      </c>
      <c r="L332" s="6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" t="s">
        <v>21</v>
      </c>
      <c r="B333" s="3" t="s">
        <v>22</v>
      </c>
      <c r="C333" s="3">
        <v>149.0</v>
      </c>
      <c r="D333" s="7">
        <v>0.0</v>
      </c>
      <c r="E333" s="3">
        <f t="shared" si="332"/>
        <v>0</v>
      </c>
      <c r="F333" s="7">
        <v>0.0</v>
      </c>
      <c r="G333" s="3">
        <f t="shared" si="333"/>
        <v>0</v>
      </c>
      <c r="H333" s="7">
        <v>0.0</v>
      </c>
      <c r="I333" s="3">
        <f t="shared" si="334"/>
        <v>0</v>
      </c>
      <c r="J333" s="3">
        <f t="shared" ref="J333:K333" si="343">D333+F333+H333</f>
        <v>0</v>
      </c>
      <c r="K333" s="3">
        <f t="shared" si="343"/>
        <v>0</v>
      </c>
      <c r="L333" s="6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" t="s">
        <v>21</v>
      </c>
      <c r="B334" s="3" t="s">
        <v>23</v>
      </c>
      <c r="C334" s="3">
        <v>149.0</v>
      </c>
      <c r="D334" s="7">
        <v>0.0</v>
      </c>
      <c r="E334" s="3">
        <f t="shared" si="332"/>
        <v>0</v>
      </c>
      <c r="F334" s="7">
        <v>0.0</v>
      </c>
      <c r="G334" s="3">
        <f t="shared" si="333"/>
        <v>0</v>
      </c>
      <c r="H334" s="7">
        <v>0.0</v>
      </c>
      <c r="I334" s="3">
        <f t="shared" si="334"/>
        <v>0</v>
      </c>
      <c r="J334" s="3">
        <f t="shared" ref="J334:K334" si="344">D334+F334+H334</f>
        <v>0</v>
      </c>
      <c r="K334" s="3">
        <f t="shared" si="344"/>
        <v>0</v>
      </c>
      <c r="L334" s="6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" t="s">
        <v>21</v>
      </c>
      <c r="B335" s="3" t="s">
        <v>14</v>
      </c>
      <c r="C335" s="3">
        <v>149.0</v>
      </c>
      <c r="D335" s="7">
        <v>1.0</v>
      </c>
      <c r="E335" s="3">
        <f t="shared" si="332"/>
        <v>149</v>
      </c>
      <c r="F335" s="7">
        <v>0.0</v>
      </c>
      <c r="G335" s="3">
        <f t="shared" si="333"/>
        <v>0</v>
      </c>
      <c r="H335" s="7">
        <v>0.0</v>
      </c>
      <c r="I335" s="3">
        <f t="shared" si="334"/>
        <v>0</v>
      </c>
      <c r="J335" s="3">
        <f t="shared" ref="J335:K335" si="345">D335+F335+H335</f>
        <v>1</v>
      </c>
      <c r="K335" s="3">
        <f t="shared" si="345"/>
        <v>149</v>
      </c>
      <c r="L335" s="6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3" t="s">
        <v>21</v>
      </c>
      <c r="B336" s="3" t="s">
        <v>24</v>
      </c>
      <c r="C336" s="3">
        <v>149.0</v>
      </c>
      <c r="D336" s="7">
        <v>0.0</v>
      </c>
      <c r="E336" s="3">
        <f t="shared" si="332"/>
        <v>0</v>
      </c>
      <c r="F336" s="7">
        <v>0.0</v>
      </c>
      <c r="G336" s="3">
        <f t="shared" si="333"/>
        <v>0</v>
      </c>
      <c r="H336" s="7">
        <v>0.0</v>
      </c>
      <c r="I336" s="3">
        <f t="shared" si="334"/>
        <v>0</v>
      </c>
      <c r="J336" s="3">
        <f t="shared" ref="J336:K336" si="346">D336+F336+H336</f>
        <v>0</v>
      </c>
      <c r="K336" s="3">
        <f t="shared" si="346"/>
        <v>0</v>
      </c>
      <c r="L336" s="6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3" t="s">
        <v>21</v>
      </c>
      <c r="B337" s="3" t="s">
        <v>25</v>
      </c>
      <c r="C337" s="3">
        <v>149.0</v>
      </c>
      <c r="D337" s="7">
        <v>0.0</v>
      </c>
      <c r="E337" s="3">
        <f t="shared" si="332"/>
        <v>0</v>
      </c>
      <c r="F337" s="7">
        <v>0.0</v>
      </c>
      <c r="G337" s="3">
        <f t="shared" si="333"/>
        <v>0</v>
      </c>
      <c r="H337" s="7">
        <v>0.0</v>
      </c>
      <c r="I337" s="3">
        <f t="shared" si="334"/>
        <v>0</v>
      </c>
      <c r="J337" s="3">
        <f t="shared" ref="J337:K337" si="347">D337+F337+H337</f>
        <v>0</v>
      </c>
      <c r="K337" s="3">
        <f t="shared" si="347"/>
        <v>0</v>
      </c>
      <c r="L337" s="6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3" t="s">
        <v>21</v>
      </c>
      <c r="B338" s="3" t="s">
        <v>26</v>
      </c>
      <c r="C338" s="3">
        <v>149.0</v>
      </c>
      <c r="D338" s="7">
        <v>1.0</v>
      </c>
      <c r="E338" s="3">
        <f t="shared" si="332"/>
        <v>149</v>
      </c>
      <c r="F338" s="7">
        <v>0.0</v>
      </c>
      <c r="G338" s="3">
        <f t="shared" si="333"/>
        <v>0</v>
      </c>
      <c r="H338" s="7">
        <v>0.0</v>
      </c>
      <c r="I338" s="3">
        <f t="shared" si="334"/>
        <v>0</v>
      </c>
      <c r="J338" s="3">
        <f t="shared" ref="J338:K338" si="348">D338+F338+H338</f>
        <v>1</v>
      </c>
      <c r="K338" s="3">
        <f t="shared" si="348"/>
        <v>149</v>
      </c>
      <c r="L338" s="6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3" t="s">
        <v>21</v>
      </c>
      <c r="B339" s="3" t="s">
        <v>27</v>
      </c>
      <c r="C339" s="3">
        <v>149.0</v>
      </c>
      <c r="D339" s="7">
        <v>0.0</v>
      </c>
      <c r="E339" s="3">
        <f t="shared" si="332"/>
        <v>0</v>
      </c>
      <c r="F339" s="7">
        <v>0.0</v>
      </c>
      <c r="G339" s="3">
        <f t="shared" si="333"/>
        <v>0</v>
      </c>
      <c r="H339" s="7">
        <v>0.0</v>
      </c>
      <c r="I339" s="3">
        <f t="shared" si="334"/>
        <v>0</v>
      </c>
      <c r="J339" s="3">
        <f t="shared" ref="J339:K339" si="349">D339+F339+H339</f>
        <v>0</v>
      </c>
      <c r="K339" s="3">
        <f t="shared" si="349"/>
        <v>0</v>
      </c>
      <c r="L339" s="6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3" t="s">
        <v>21</v>
      </c>
      <c r="B340" s="3" t="s">
        <v>28</v>
      </c>
      <c r="C340" s="3">
        <v>149.0</v>
      </c>
      <c r="D340" s="7">
        <v>0.0</v>
      </c>
      <c r="E340" s="3">
        <f t="shared" si="332"/>
        <v>0</v>
      </c>
      <c r="F340" s="7">
        <v>0.0</v>
      </c>
      <c r="G340" s="3">
        <f t="shared" si="333"/>
        <v>0</v>
      </c>
      <c r="H340" s="7">
        <v>0.0</v>
      </c>
      <c r="I340" s="3">
        <f t="shared" si="334"/>
        <v>0</v>
      </c>
      <c r="J340" s="3">
        <f t="shared" ref="J340:K340" si="350">D340+F340+H340</f>
        <v>0</v>
      </c>
      <c r="K340" s="3">
        <f t="shared" si="350"/>
        <v>0</v>
      </c>
      <c r="L340" s="6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3" t="s">
        <v>21</v>
      </c>
      <c r="B341" s="3" t="s">
        <v>29</v>
      </c>
      <c r="C341" s="3">
        <v>149.0</v>
      </c>
      <c r="D341" s="7">
        <v>0.0</v>
      </c>
      <c r="E341" s="3">
        <f t="shared" si="332"/>
        <v>0</v>
      </c>
      <c r="F341" s="7">
        <v>0.0</v>
      </c>
      <c r="G341" s="3">
        <f t="shared" si="333"/>
        <v>0</v>
      </c>
      <c r="H341" s="7">
        <v>0.0</v>
      </c>
      <c r="I341" s="3">
        <f t="shared" si="334"/>
        <v>0</v>
      </c>
      <c r="J341" s="3">
        <f t="shared" ref="J341:K341" si="351">D341+F341+H341</f>
        <v>0</v>
      </c>
      <c r="K341" s="3">
        <f t="shared" si="351"/>
        <v>0</v>
      </c>
      <c r="L341" s="6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3" t="s">
        <v>21</v>
      </c>
      <c r="B342" s="3" t="s">
        <v>30</v>
      </c>
      <c r="C342" s="3">
        <v>149.0</v>
      </c>
      <c r="D342" s="7">
        <v>1.0</v>
      </c>
      <c r="E342" s="3">
        <f t="shared" si="332"/>
        <v>149</v>
      </c>
      <c r="F342" s="7">
        <v>0.0</v>
      </c>
      <c r="G342" s="3">
        <f t="shared" si="333"/>
        <v>0</v>
      </c>
      <c r="H342" s="7">
        <v>0.0</v>
      </c>
      <c r="I342" s="3">
        <f t="shared" si="334"/>
        <v>0</v>
      </c>
      <c r="J342" s="3">
        <f t="shared" ref="J342:K342" si="352">D342+F342+H342</f>
        <v>1</v>
      </c>
      <c r="K342" s="3">
        <f t="shared" si="352"/>
        <v>149</v>
      </c>
      <c r="L342" s="6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3" t="s">
        <v>21</v>
      </c>
      <c r="B343" s="3" t="s">
        <v>31</v>
      </c>
      <c r="C343" s="3">
        <v>149.0</v>
      </c>
      <c r="D343" s="7">
        <v>0.0</v>
      </c>
      <c r="E343" s="3">
        <f t="shared" si="332"/>
        <v>0</v>
      </c>
      <c r="F343" s="7">
        <v>0.0</v>
      </c>
      <c r="G343" s="3">
        <f t="shared" si="333"/>
        <v>0</v>
      </c>
      <c r="H343" s="7">
        <v>0.0</v>
      </c>
      <c r="I343" s="3">
        <f t="shared" si="334"/>
        <v>0</v>
      </c>
      <c r="J343" s="3">
        <f t="shared" ref="J343:K343" si="353">D343+F343+H343</f>
        <v>0</v>
      </c>
      <c r="K343" s="3">
        <f t="shared" si="353"/>
        <v>0</v>
      </c>
      <c r="L343" s="6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3" t="s">
        <v>21</v>
      </c>
      <c r="B344" s="3" t="s">
        <v>32</v>
      </c>
      <c r="C344" s="3">
        <v>149.0</v>
      </c>
      <c r="D344" s="7">
        <v>0.0</v>
      </c>
      <c r="E344" s="3">
        <f t="shared" si="332"/>
        <v>0</v>
      </c>
      <c r="F344" s="7">
        <v>0.0</v>
      </c>
      <c r="G344" s="3">
        <f t="shared" si="333"/>
        <v>0</v>
      </c>
      <c r="H344" s="7">
        <v>0.0</v>
      </c>
      <c r="I344" s="3">
        <f t="shared" si="334"/>
        <v>0</v>
      </c>
      <c r="J344" s="3">
        <f t="shared" ref="J344:K344" si="354">D344+F344+H344</f>
        <v>0</v>
      </c>
      <c r="K344" s="3">
        <f t="shared" si="354"/>
        <v>0</v>
      </c>
      <c r="L344" s="6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3" t="s">
        <v>33</v>
      </c>
      <c r="B345" s="3" t="s">
        <v>34</v>
      </c>
      <c r="C345" s="3">
        <v>159.0</v>
      </c>
      <c r="D345" s="7">
        <v>0.0</v>
      </c>
      <c r="E345" s="3">
        <f t="shared" si="332"/>
        <v>0</v>
      </c>
      <c r="F345" s="7">
        <v>0.0</v>
      </c>
      <c r="G345" s="3">
        <f t="shared" si="333"/>
        <v>0</v>
      </c>
      <c r="H345" s="7">
        <v>0.0</v>
      </c>
      <c r="I345" s="3">
        <f t="shared" si="334"/>
        <v>0</v>
      </c>
      <c r="J345" s="3">
        <f t="shared" ref="J345:K345" si="355">D345+F345+H345</f>
        <v>0</v>
      </c>
      <c r="K345" s="3">
        <f t="shared" si="355"/>
        <v>0</v>
      </c>
      <c r="L345" s="6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3" t="s">
        <v>33</v>
      </c>
      <c r="B346" s="3" t="s">
        <v>35</v>
      </c>
      <c r="C346" s="3">
        <v>159.0</v>
      </c>
      <c r="D346" s="7">
        <v>0.0</v>
      </c>
      <c r="E346" s="3">
        <f t="shared" si="332"/>
        <v>0</v>
      </c>
      <c r="F346" s="7">
        <v>0.0</v>
      </c>
      <c r="G346" s="3">
        <f t="shared" si="333"/>
        <v>0</v>
      </c>
      <c r="H346" s="7">
        <v>0.0</v>
      </c>
      <c r="I346" s="3">
        <f t="shared" si="334"/>
        <v>0</v>
      </c>
      <c r="J346" s="3">
        <f t="shared" ref="J346:K346" si="356">D346+F346+H346</f>
        <v>0</v>
      </c>
      <c r="K346" s="3">
        <f t="shared" si="356"/>
        <v>0</v>
      </c>
      <c r="L346" s="6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3" t="s">
        <v>33</v>
      </c>
      <c r="B347" s="3" t="s">
        <v>36</v>
      </c>
      <c r="C347" s="3">
        <v>159.0</v>
      </c>
      <c r="D347" s="7">
        <v>1.0</v>
      </c>
      <c r="E347" s="3">
        <f t="shared" si="332"/>
        <v>159</v>
      </c>
      <c r="F347" s="7">
        <v>0.0</v>
      </c>
      <c r="G347" s="3">
        <f t="shared" si="333"/>
        <v>0</v>
      </c>
      <c r="H347" s="7">
        <v>0.0</v>
      </c>
      <c r="I347" s="3">
        <f t="shared" si="334"/>
        <v>0</v>
      </c>
      <c r="J347" s="3">
        <f t="shared" ref="J347:K347" si="357">D347+F347+H347</f>
        <v>1</v>
      </c>
      <c r="K347" s="3">
        <f t="shared" si="357"/>
        <v>159</v>
      </c>
      <c r="L347" s="6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3" t="s">
        <v>33</v>
      </c>
      <c r="B348" s="3" t="s">
        <v>37</v>
      </c>
      <c r="C348" s="3">
        <v>159.0</v>
      </c>
      <c r="D348" s="7">
        <v>0.0</v>
      </c>
      <c r="E348" s="3">
        <f t="shared" si="332"/>
        <v>0</v>
      </c>
      <c r="F348" s="7">
        <v>0.0</v>
      </c>
      <c r="G348" s="3">
        <f t="shared" si="333"/>
        <v>0</v>
      </c>
      <c r="H348" s="7">
        <v>0.0</v>
      </c>
      <c r="I348" s="3">
        <f t="shared" si="334"/>
        <v>0</v>
      </c>
      <c r="J348" s="3">
        <f t="shared" ref="J348:K348" si="358">D348+F348+H348</f>
        <v>0</v>
      </c>
      <c r="K348" s="3">
        <f t="shared" si="358"/>
        <v>0</v>
      </c>
      <c r="L348" s="6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3" t="s">
        <v>38</v>
      </c>
      <c r="B349" s="3" t="s">
        <v>31</v>
      </c>
      <c r="C349" s="3">
        <v>99.0</v>
      </c>
      <c r="D349" s="7">
        <v>1.0</v>
      </c>
      <c r="E349" s="3">
        <f t="shared" si="332"/>
        <v>99</v>
      </c>
      <c r="F349" s="7">
        <v>0.0</v>
      </c>
      <c r="G349" s="3">
        <f t="shared" si="333"/>
        <v>0</v>
      </c>
      <c r="H349" s="7">
        <v>0.0</v>
      </c>
      <c r="I349" s="3">
        <f t="shared" si="334"/>
        <v>0</v>
      </c>
      <c r="J349" s="3">
        <f t="shared" ref="J349:K349" si="359">D349+F349+H349</f>
        <v>1</v>
      </c>
      <c r="K349" s="3">
        <f t="shared" si="359"/>
        <v>99</v>
      </c>
      <c r="L349" s="6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3" t="s">
        <v>38</v>
      </c>
      <c r="B350" s="3" t="s">
        <v>24</v>
      </c>
      <c r="C350" s="3">
        <v>99.0</v>
      </c>
      <c r="D350" s="7">
        <v>0.0</v>
      </c>
      <c r="E350" s="3">
        <f t="shared" si="332"/>
        <v>0</v>
      </c>
      <c r="F350" s="7">
        <v>0.0</v>
      </c>
      <c r="G350" s="3">
        <f t="shared" si="333"/>
        <v>0</v>
      </c>
      <c r="H350" s="7">
        <v>0.0</v>
      </c>
      <c r="I350" s="3">
        <f t="shared" si="334"/>
        <v>0</v>
      </c>
      <c r="J350" s="3">
        <f t="shared" ref="J350:K350" si="360">D350+F350+H350</f>
        <v>0</v>
      </c>
      <c r="K350" s="3">
        <f t="shared" si="360"/>
        <v>0</v>
      </c>
      <c r="L350" s="6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3" t="s">
        <v>38</v>
      </c>
      <c r="B351" s="3" t="s">
        <v>39</v>
      </c>
      <c r="C351" s="3">
        <v>99.0</v>
      </c>
      <c r="D351" s="7">
        <v>0.0</v>
      </c>
      <c r="E351" s="3">
        <f t="shared" si="332"/>
        <v>0</v>
      </c>
      <c r="F351" s="7">
        <v>0.0</v>
      </c>
      <c r="G351" s="3">
        <f t="shared" si="333"/>
        <v>0</v>
      </c>
      <c r="H351" s="7">
        <v>0.0</v>
      </c>
      <c r="I351" s="3">
        <f t="shared" si="334"/>
        <v>0</v>
      </c>
      <c r="J351" s="3">
        <f t="shared" ref="J351:K351" si="361">D351+F351+H351</f>
        <v>0</v>
      </c>
      <c r="K351" s="3">
        <f t="shared" si="361"/>
        <v>0</v>
      </c>
      <c r="L351" s="6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3" t="s">
        <v>38</v>
      </c>
      <c r="B352" s="3" t="s">
        <v>40</v>
      </c>
      <c r="C352" s="3">
        <v>99.0</v>
      </c>
      <c r="D352" s="7">
        <v>0.0</v>
      </c>
      <c r="E352" s="3">
        <f t="shared" si="332"/>
        <v>0</v>
      </c>
      <c r="F352" s="7">
        <v>0.0</v>
      </c>
      <c r="G352" s="3">
        <f t="shared" si="333"/>
        <v>0</v>
      </c>
      <c r="H352" s="7">
        <v>0.0</v>
      </c>
      <c r="I352" s="3">
        <f t="shared" si="334"/>
        <v>0</v>
      </c>
      <c r="J352" s="3">
        <f t="shared" ref="J352:K352" si="362">D352+F352+H352</f>
        <v>0</v>
      </c>
      <c r="K352" s="3">
        <f t="shared" si="362"/>
        <v>0</v>
      </c>
      <c r="L352" s="6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3" t="s">
        <v>38</v>
      </c>
      <c r="B353" s="3" t="s">
        <v>41</v>
      </c>
      <c r="C353" s="3">
        <v>99.0</v>
      </c>
      <c r="D353" s="7">
        <v>0.0</v>
      </c>
      <c r="E353" s="3">
        <f t="shared" si="332"/>
        <v>0</v>
      </c>
      <c r="F353" s="7">
        <v>0.0</v>
      </c>
      <c r="G353" s="3">
        <f t="shared" si="333"/>
        <v>0</v>
      </c>
      <c r="H353" s="7">
        <v>0.0</v>
      </c>
      <c r="I353" s="3">
        <f t="shared" si="334"/>
        <v>0</v>
      </c>
      <c r="J353" s="3">
        <f t="shared" ref="J353:K353" si="363">D353+F353+H353</f>
        <v>0</v>
      </c>
      <c r="K353" s="3">
        <f t="shared" si="363"/>
        <v>0</v>
      </c>
      <c r="L353" s="6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3" t="s">
        <v>42</v>
      </c>
      <c r="B354" s="3" t="s">
        <v>43</v>
      </c>
      <c r="C354" s="3">
        <v>149.0</v>
      </c>
      <c r="D354" s="7">
        <v>1.0</v>
      </c>
      <c r="E354" s="3">
        <f t="shared" si="332"/>
        <v>149</v>
      </c>
      <c r="F354" s="7">
        <v>0.0</v>
      </c>
      <c r="G354" s="3">
        <f t="shared" si="333"/>
        <v>0</v>
      </c>
      <c r="H354" s="7">
        <v>0.0</v>
      </c>
      <c r="I354" s="3">
        <f t="shared" si="334"/>
        <v>0</v>
      </c>
      <c r="J354" s="3">
        <f t="shared" ref="J354:K354" si="364">D354+F354+H354</f>
        <v>1</v>
      </c>
      <c r="K354" s="3">
        <f t="shared" si="364"/>
        <v>149</v>
      </c>
      <c r="L354" s="6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3" t="s">
        <v>42</v>
      </c>
      <c r="B355" s="3" t="s">
        <v>44</v>
      </c>
      <c r="C355" s="3">
        <v>149.0</v>
      </c>
      <c r="D355" s="7">
        <v>0.0</v>
      </c>
      <c r="E355" s="3">
        <f t="shared" si="332"/>
        <v>0</v>
      </c>
      <c r="F355" s="7">
        <v>0.0</v>
      </c>
      <c r="G355" s="3">
        <f t="shared" si="333"/>
        <v>0</v>
      </c>
      <c r="H355" s="7">
        <v>0.0</v>
      </c>
      <c r="I355" s="3">
        <f t="shared" si="334"/>
        <v>0</v>
      </c>
      <c r="J355" s="3">
        <f t="shared" ref="J355:K355" si="365">D355+F355+H355</f>
        <v>0</v>
      </c>
      <c r="K355" s="3">
        <f t="shared" si="365"/>
        <v>0</v>
      </c>
      <c r="L355" s="6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3" t="s">
        <v>42</v>
      </c>
      <c r="B356" s="3" t="s">
        <v>45</v>
      </c>
      <c r="C356" s="3">
        <v>149.0</v>
      </c>
      <c r="D356" s="7">
        <v>0.0</v>
      </c>
      <c r="E356" s="3">
        <f t="shared" si="332"/>
        <v>0</v>
      </c>
      <c r="F356" s="7">
        <v>0.0</v>
      </c>
      <c r="G356" s="3">
        <f t="shared" si="333"/>
        <v>0</v>
      </c>
      <c r="H356" s="7">
        <v>0.0</v>
      </c>
      <c r="I356" s="3">
        <f t="shared" si="334"/>
        <v>0</v>
      </c>
      <c r="J356" s="3">
        <f t="shared" ref="J356:K356" si="366">D356+F356+H356</f>
        <v>0</v>
      </c>
      <c r="K356" s="3">
        <f t="shared" si="366"/>
        <v>0</v>
      </c>
      <c r="L356" s="6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3" t="s">
        <v>42</v>
      </c>
      <c r="B357" s="3" t="s">
        <v>46</v>
      </c>
      <c r="C357" s="3">
        <v>149.0</v>
      </c>
      <c r="D357" s="7">
        <v>0.0</v>
      </c>
      <c r="E357" s="3">
        <f t="shared" si="332"/>
        <v>0</v>
      </c>
      <c r="F357" s="7">
        <v>0.0</v>
      </c>
      <c r="G357" s="3">
        <f t="shared" si="333"/>
        <v>0</v>
      </c>
      <c r="H357" s="7">
        <v>0.0</v>
      </c>
      <c r="I357" s="3">
        <f t="shared" si="334"/>
        <v>0</v>
      </c>
      <c r="J357" s="3">
        <f t="shared" ref="J357:K357" si="367">D357+F357+H357</f>
        <v>0</v>
      </c>
      <c r="K357" s="3">
        <f t="shared" si="367"/>
        <v>0</v>
      </c>
      <c r="L357" s="6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3" t="s">
        <v>47</v>
      </c>
      <c r="B358" s="3" t="s">
        <v>48</v>
      </c>
      <c r="C358" s="3">
        <v>25.0</v>
      </c>
      <c r="D358" s="7">
        <v>4.0</v>
      </c>
      <c r="E358" s="3">
        <f t="shared" si="332"/>
        <v>100</v>
      </c>
      <c r="F358" s="7">
        <v>0.0</v>
      </c>
      <c r="G358" s="3">
        <f t="shared" si="333"/>
        <v>0</v>
      </c>
      <c r="H358" s="7">
        <v>0.0</v>
      </c>
      <c r="I358" s="3">
        <f t="shared" si="334"/>
        <v>0</v>
      </c>
      <c r="J358" s="3">
        <f t="shared" ref="J358:K358" si="368">D358+F358+H358</f>
        <v>4</v>
      </c>
      <c r="K358" s="3">
        <f t="shared" si="368"/>
        <v>100</v>
      </c>
      <c r="L358" s="6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3" t="s">
        <v>47</v>
      </c>
      <c r="B359" s="3" t="s">
        <v>49</v>
      </c>
      <c r="C359" s="3">
        <v>20.0</v>
      </c>
      <c r="D359" s="7">
        <v>0.0</v>
      </c>
      <c r="E359" s="3">
        <f t="shared" si="332"/>
        <v>0</v>
      </c>
      <c r="F359" s="7">
        <v>0.0</v>
      </c>
      <c r="G359" s="3">
        <f t="shared" si="333"/>
        <v>0</v>
      </c>
      <c r="H359" s="7">
        <v>0.0</v>
      </c>
      <c r="I359" s="3">
        <f t="shared" si="334"/>
        <v>0</v>
      </c>
      <c r="J359" s="3">
        <f t="shared" ref="J359:K359" si="369">D359+F359+H359</f>
        <v>0</v>
      </c>
      <c r="K359" s="3">
        <f t="shared" si="369"/>
        <v>0</v>
      </c>
      <c r="L359" s="6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3" t="s">
        <v>47</v>
      </c>
      <c r="B360" s="3" t="s">
        <v>50</v>
      </c>
      <c r="C360" s="3">
        <v>20.0</v>
      </c>
      <c r="D360" s="7">
        <v>0.0</v>
      </c>
      <c r="E360" s="3">
        <f t="shared" si="332"/>
        <v>0</v>
      </c>
      <c r="F360" s="7">
        <v>0.0</v>
      </c>
      <c r="G360" s="3">
        <f t="shared" si="333"/>
        <v>0</v>
      </c>
      <c r="H360" s="7">
        <v>0.0</v>
      </c>
      <c r="I360" s="3">
        <f t="shared" si="334"/>
        <v>0</v>
      </c>
      <c r="J360" s="3">
        <f t="shared" ref="J360:K360" si="370">D360+F360+H360</f>
        <v>0</v>
      </c>
      <c r="K360" s="3">
        <f t="shared" si="370"/>
        <v>0</v>
      </c>
      <c r="L360" s="6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3" t="s">
        <v>47</v>
      </c>
      <c r="B361" s="3" t="s">
        <v>51</v>
      </c>
      <c r="C361" s="3">
        <v>20.0</v>
      </c>
      <c r="D361" s="7">
        <v>1.0</v>
      </c>
      <c r="E361" s="3">
        <f t="shared" si="332"/>
        <v>20</v>
      </c>
      <c r="F361" s="7">
        <v>0.0</v>
      </c>
      <c r="G361" s="3">
        <f t="shared" si="333"/>
        <v>0</v>
      </c>
      <c r="H361" s="7">
        <v>0.0</v>
      </c>
      <c r="I361" s="3">
        <f t="shared" si="334"/>
        <v>0</v>
      </c>
      <c r="J361" s="3">
        <f t="shared" ref="J361:K361" si="371">D361+F361+H361</f>
        <v>1</v>
      </c>
      <c r="K361" s="3">
        <f t="shared" si="371"/>
        <v>20</v>
      </c>
      <c r="L361" s="6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3" t="s">
        <v>47</v>
      </c>
      <c r="B362" s="3" t="s">
        <v>52</v>
      </c>
      <c r="C362" s="3">
        <v>25.0</v>
      </c>
      <c r="D362" s="7">
        <v>0.0</v>
      </c>
      <c r="E362" s="3">
        <f t="shared" si="332"/>
        <v>0</v>
      </c>
      <c r="F362" s="7">
        <v>0.0</v>
      </c>
      <c r="G362" s="3">
        <f t="shared" si="333"/>
        <v>0</v>
      </c>
      <c r="H362" s="7">
        <v>0.0</v>
      </c>
      <c r="I362" s="3">
        <f t="shared" si="334"/>
        <v>0</v>
      </c>
      <c r="J362" s="3">
        <f t="shared" ref="J362:K362" si="372">D362+F362+H362</f>
        <v>0</v>
      </c>
      <c r="K362" s="3">
        <f t="shared" si="372"/>
        <v>0</v>
      </c>
      <c r="L362" s="6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3" t="s">
        <v>47</v>
      </c>
      <c r="B363" s="3" t="s">
        <v>53</v>
      </c>
      <c r="C363" s="3">
        <v>20.0</v>
      </c>
      <c r="D363" s="7">
        <v>0.0</v>
      </c>
      <c r="E363" s="3">
        <f t="shared" si="332"/>
        <v>0</v>
      </c>
      <c r="F363" s="7">
        <v>0.0</v>
      </c>
      <c r="G363" s="3">
        <f t="shared" si="333"/>
        <v>0</v>
      </c>
      <c r="H363" s="7">
        <v>0.0</v>
      </c>
      <c r="I363" s="3">
        <f t="shared" si="334"/>
        <v>0</v>
      </c>
      <c r="J363" s="3">
        <f t="shared" ref="J363:K363" si="373">D363+F363+H363</f>
        <v>0</v>
      </c>
      <c r="K363" s="3">
        <f t="shared" si="373"/>
        <v>0</v>
      </c>
      <c r="L363" s="6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3" t="s">
        <v>54</v>
      </c>
      <c r="B364" s="3" t="s">
        <v>55</v>
      </c>
      <c r="C364" s="3">
        <v>149.0</v>
      </c>
      <c r="D364" s="7">
        <v>1.0</v>
      </c>
      <c r="E364" s="3">
        <f t="shared" si="332"/>
        <v>149</v>
      </c>
      <c r="F364" s="7">
        <v>0.0</v>
      </c>
      <c r="G364" s="3">
        <f t="shared" si="333"/>
        <v>0</v>
      </c>
      <c r="H364" s="7">
        <v>0.0</v>
      </c>
      <c r="I364" s="3">
        <f t="shared" si="334"/>
        <v>0</v>
      </c>
      <c r="J364" s="3">
        <f t="shared" ref="J364:K364" si="374">D364+F364+H364</f>
        <v>1</v>
      </c>
      <c r="K364" s="3">
        <f t="shared" si="374"/>
        <v>149</v>
      </c>
      <c r="L364" s="6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3" t="s">
        <v>54</v>
      </c>
      <c r="B365" s="3" t="s">
        <v>56</v>
      </c>
      <c r="C365" s="3">
        <v>149.0</v>
      </c>
      <c r="D365" s="7">
        <v>0.0</v>
      </c>
      <c r="E365" s="3">
        <f t="shared" si="332"/>
        <v>0</v>
      </c>
      <c r="F365" s="7">
        <v>0.0</v>
      </c>
      <c r="G365" s="3">
        <f t="shared" si="333"/>
        <v>0</v>
      </c>
      <c r="H365" s="7">
        <v>0.0</v>
      </c>
      <c r="I365" s="3">
        <f t="shared" si="334"/>
        <v>0</v>
      </c>
      <c r="J365" s="3">
        <f t="shared" ref="J365:K365" si="375">D365+F365+H365</f>
        <v>0</v>
      </c>
      <c r="K365" s="3">
        <f t="shared" si="375"/>
        <v>0</v>
      </c>
      <c r="L365" s="6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3" t="s">
        <v>54</v>
      </c>
      <c r="B366" s="3" t="s">
        <v>57</v>
      </c>
      <c r="C366" s="3">
        <v>149.0</v>
      </c>
      <c r="D366" s="7">
        <v>0.0</v>
      </c>
      <c r="E366" s="3">
        <f t="shared" si="332"/>
        <v>0</v>
      </c>
      <c r="F366" s="7">
        <v>0.0</v>
      </c>
      <c r="G366" s="3">
        <f t="shared" si="333"/>
        <v>0</v>
      </c>
      <c r="H366" s="7">
        <v>0.0</v>
      </c>
      <c r="I366" s="3">
        <f t="shared" si="334"/>
        <v>0</v>
      </c>
      <c r="J366" s="3">
        <f t="shared" ref="J366:K366" si="376">D366+F366+H366</f>
        <v>0</v>
      </c>
      <c r="K366" s="3">
        <f t="shared" si="376"/>
        <v>0</v>
      </c>
      <c r="L366" s="6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8" t="s">
        <v>58</v>
      </c>
      <c r="B367" s="9"/>
      <c r="C367" s="9"/>
      <c r="D367" s="9"/>
      <c r="E367" s="8">
        <f>SUM(E324:E366)</f>
        <v>1421</v>
      </c>
      <c r="F367" s="9"/>
      <c r="G367" s="8">
        <f>SUM(G324:G366)</f>
        <v>0</v>
      </c>
      <c r="H367" s="9"/>
      <c r="I367" s="8">
        <f t="shared" ref="I367:K367" si="377">SUM(I324:I366)</f>
        <v>0</v>
      </c>
      <c r="J367" s="8">
        <f t="shared" si="377"/>
        <v>14</v>
      </c>
      <c r="K367" s="8">
        <f t="shared" si="377"/>
        <v>1421</v>
      </c>
      <c r="L367" s="12">
        <v>46008.0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" t="s">
        <v>0</v>
      </c>
      <c r="B369" s="1" t="s">
        <v>1</v>
      </c>
      <c r="C369" s="1" t="s">
        <v>2</v>
      </c>
      <c r="D369" s="2" t="s">
        <v>3</v>
      </c>
      <c r="E369" s="1" t="s">
        <v>4</v>
      </c>
      <c r="F369" s="2" t="s">
        <v>5</v>
      </c>
      <c r="G369" s="1" t="s">
        <v>6</v>
      </c>
      <c r="H369" s="2" t="s">
        <v>7</v>
      </c>
      <c r="I369" s="1" t="s">
        <v>8</v>
      </c>
      <c r="J369" s="1" t="s">
        <v>9</v>
      </c>
      <c r="K369" s="1" t="s">
        <v>10</v>
      </c>
      <c r="L369" s="3" t="s">
        <v>11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3" t="s">
        <v>12</v>
      </c>
      <c r="B370" s="3" t="s">
        <v>13</v>
      </c>
      <c r="C370" s="3">
        <v>189.0</v>
      </c>
      <c r="D370" s="7">
        <v>0.0</v>
      </c>
      <c r="E370" s="3">
        <f t="shared" ref="E370:E390" si="379">C370*D370</f>
        <v>0</v>
      </c>
      <c r="F370" s="7">
        <v>2.0</v>
      </c>
      <c r="G370" s="4">
        <f t="shared" ref="G370:G390" si="380">C370*F370</f>
        <v>378</v>
      </c>
      <c r="H370" s="7">
        <v>0.0</v>
      </c>
      <c r="I370" s="3">
        <f t="shared" ref="I370:I412" si="381">C370*H370</f>
        <v>0</v>
      </c>
      <c r="J370" s="3">
        <f t="shared" ref="J370:K370" si="378">D370+F370+H370</f>
        <v>2</v>
      </c>
      <c r="K370" s="3">
        <f t="shared" si="378"/>
        <v>378</v>
      </c>
      <c r="L370" s="6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3" t="s">
        <v>12</v>
      </c>
      <c r="B371" s="3" t="s">
        <v>14</v>
      </c>
      <c r="C371" s="3">
        <v>189.0</v>
      </c>
      <c r="D371" s="7">
        <v>0.0</v>
      </c>
      <c r="E371" s="3">
        <f t="shared" si="379"/>
        <v>0</v>
      </c>
      <c r="F371" s="7">
        <v>2.0</v>
      </c>
      <c r="G371" s="3">
        <f t="shared" si="380"/>
        <v>378</v>
      </c>
      <c r="H371" s="7">
        <v>0.0</v>
      </c>
      <c r="I371" s="3">
        <f t="shared" si="381"/>
        <v>0</v>
      </c>
      <c r="J371" s="3">
        <f t="shared" ref="J371:K371" si="382">D371+F371+H371</f>
        <v>2</v>
      </c>
      <c r="K371" s="3">
        <f t="shared" si="382"/>
        <v>378</v>
      </c>
      <c r="L371" s="6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3" t="s">
        <v>12</v>
      </c>
      <c r="B372" s="3" t="s">
        <v>15</v>
      </c>
      <c r="C372" s="3">
        <v>189.0</v>
      </c>
      <c r="D372" s="7">
        <v>0.0</v>
      </c>
      <c r="E372" s="3">
        <f t="shared" si="379"/>
        <v>0</v>
      </c>
      <c r="F372" s="7">
        <v>2.0</v>
      </c>
      <c r="G372" s="3">
        <f t="shared" si="380"/>
        <v>378</v>
      </c>
      <c r="H372" s="7">
        <v>1.0</v>
      </c>
      <c r="I372" s="3">
        <f t="shared" si="381"/>
        <v>189</v>
      </c>
      <c r="J372" s="3">
        <f t="shared" ref="J372:K372" si="383">D372+F372+H372</f>
        <v>3</v>
      </c>
      <c r="K372" s="3">
        <f t="shared" si="383"/>
        <v>567</v>
      </c>
      <c r="L372" s="6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3" t="s">
        <v>12</v>
      </c>
      <c r="B373" s="3" t="s">
        <v>16</v>
      </c>
      <c r="C373" s="3">
        <v>189.0</v>
      </c>
      <c r="D373" s="7">
        <v>0.0</v>
      </c>
      <c r="E373" s="3">
        <f t="shared" si="379"/>
        <v>0</v>
      </c>
      <c r="F373" s="7">
        <v>0.0</v>
      </c>
      <c r="G373" s="3">
        <f t="shared" si="380"/>
        <v>0</v>
      </c>
      <c r="H373" s="7">
        <v>0.0</v>
      </c>
      <c r="I373" s="3">
        <f t="shared" si="381"/>
        <v>0</v>
      </c>
      <c r="J373" s="3">
        <f t="shared" ref="J373:K373" si="384">D373+F373+H373</f>
        <v>0</v>
      </c>
      <c r="K373" s="3">
        <f t="shared" si="384"/>
        <v>0</v>
      </c>
      <c r="L373" s="6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3" t="s">
        <v>12</v>
      </c>
      <c r="B374" s="3" t="s">
        <v>17</v>
      </c>
      <c r="C374" s="3">
        <v>189.0</v>
      </c>
      <c r="D374" s="7">
        <v>0.0</v>
      </c>
      <c r="E374" s="3">
        <f t="shared" si="379"/>
        <v>0</v>
      </c>
      <c r="F374" s="7">
        <v>0.0</v>
      </c>
      <c r="G374" s="3">
        <f t="shared" si="380"/>
        <v>0</v>
      </c>
      <c r="H374" s="7">
        <v>0.0</v>
      </c>
      <c r="I374" s="3">
        <f t="shared" si="381"/>
        <v>0</v>
      </c>
      <c r="J374" s="3">
        <f t="shared" ref="J374:K374" si="385">D374+F374+H374</f>
        <v>0</v>
      </c>
      <c r="K374" s="3">
        <f t="shared" si="385"/>
        <v>0</v>
      </c>
      <c r="L374" s="6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3" t="s">
        <v>12</v>
      </c>
      <c r="B375" s="3" t="s">
        <v>18</v>
      </c>
      <c r="C375" s="3">
        <v>189.0</v>
      </c>
      <c r="D375" s="7">
        <v>0.0</v>
      </c>
      <c r="E375" s="3">
        <f t="shared" si="379"/>
        <v>0</v>
      </c>
      <c r="F375" s="7">
        <v>0.0</v>
      </c>
      <c r="G375" s="3">
        <f t="shared" si="380"/>
        <v>0</v>
      </c>
      <c r="H375" s="7">
        <v>0.0</v>
      </c>
      <c r="I375" s="3">
        <f t="shared" si="381"/>
        <v>0</v>
      </c>
      <c r="J375" s="3">
        <f t="shared" ref="J375:K375" si="386">D375+F375+H375</f>
        <v>0</v>
      </c>
      <c r="K375" s="3">
        <f t="shared" si="386"/>
        <v>0</v>
      </c>
      <c r="L375" s="6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3" t="s">
        <v>12</v>
      </c>
      <c r="B376" s="3" t="s">
        <v>19</v>
      </c>
      <c r="C376" s="3">
        <v>189.0</v>
      </c>
      <c r="D376" s="7">
        <v>0.0</v>
      </c>
      <c r="E376" s="3">
        <f t="shared" si="379"/>
        <v>0</v>
      </c>
      <c r="F376" s="7">
        <v>0.0</v>
      </c>
      <c r="G376" s="3">
        <f t="shared" si="380"/>
        <v>0</v>
      </c>
      <c r="H376" s="7">
        <v>0.0</v>
      </c>
      <c r="I376" s="3">
        <f t="shared" si="381"/>
        <v>0</v>
      </c>
      <c r="J376" s="3">
        <f t="shared" ref="J376:K376" si="387">D376+F376+H376</f>
        <v>0</v>
      </c>
      <c r="K376" s="3">
        <f t="shared" si="387"/>
        <v>0</v>
      </c>
      <c r="L376" s="6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3" t="s">
        <v>12</v>
      </c>
      <c r="B377" s="3" t="s">
        <v>20</v>
      </c>
      <c r="C377" s="3">
        <v>189.0</v>
      </c>
      <c r="D377" s="7">
        <v>0.0</v>
      </c>
      <c r="E377" s="3">
        <f t="shared" si="379"/>
        <v>0</v>
      </c>
      <c r="F377" s="7">
        <v>0.0</v>
      </c>
      <c r="G377" s="3">
        <f t="shared" si="380"/>
        <v>0</v>
      </c>
      <c r="H377" s="7">
        <v>0.0</v>
      </c>
      <c r="I377" s="3">
        <f t="shared" si="381"/>
        <v>0</v>
      </c>
      <c r="J377" s="3">
        <f t="shared" ref="J377:K377" si="388">D377+F377+H377</f>
        <v>0</v>
      </c>
      <c r="K377" s="3">
        <f t="shared" si="388"/>
        <v>0</v>
      </c>
      <c r="L377" s="6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3" t="s">
        <v>21</v>
      </c>
      <c r="B378" s="3" t="s">
        <v>20</v>
      </c>
      <c r="C378" s="3">
        <v>149.0</v>
      </c>
      <c r="D378" s="7">
        <v>1.0</v>
      </c>
      <c r="E378" s="3">
        <f t="shared" si="379"/>
        <v>149</v>
      </c>
      <c r="F378" s="7">
        <v>0.0</v>
      </c>
      <c r="G378" s="3">
        <f t="shared" si="380"/>
        <v>0</v>
      </c>
      <c r="H378" s="7">
        <v>0.0</v>
      </c>
      <c r="I378" s="3">
        <f t="shared" si="381"/>
        <v>0</v>
      </c>
      <c r="J378" s="3">
        <f t="shared" ref="J378:K378" si="389">D378+F378+H378</f>
        <v>1</v>
      </c>
      <c r="K378" s="3">
        <f t="shared" si="389"/>
        <v>149</v>
      </c>
      <c r="L378" s="6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3" t="s">
        <v>21</v>
      </c>
      <c r="B379" s="3" t="s">
        <v>22</v>
      </c>
      <c r="C379" s="3">
        <v>149.0</v>
      </c>
      <c r="D379" s="7">
        <v>0.0</v>
      </c>
      <c r="E379" s="3">
        <f t="shared" si="379"/>
        <v>0</v>
      </c>
      <c r="F379" s="7">
        <v>0.0</v>
      </c>
      <c r="G379" s="3">
        <f t="shared" si="380"/>
        <v>0</v>
      </c>
      <c r="H379" s="7">
        <v>0.0</v>
      </c>
      <c r="I379" s="3">
        <f t="shared" si="381"/>
        <v>0</v>
      </c>
      <c r="J379" s="3">
        <f t="shared" ref="J379:K379" si="390">D379+F379+H379</f>
        <v>0</v>
      </c>
      <c r="K379" s="3">
        <f t="shared" si="390"/>
        <v>0</v>
      </c>
      <c r="L379" s="6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3" t="s">
        <v>21</v>
      </c>
      <c r="B380" s="3" t="s">
        <v>23</v>
      </c>
      <c r="C380" s="3">
        <v>149.0</v>
      </c>
      <c r="D380" s="7">
        <v>0.0</v>
      </c>
      <c r="E380" s="3">
        <f t="shared" si="379"/>
        <v>0</v>
      </c>
      <c r="F380" s="7">
        <v>0.0</v>
      </c>
      <c r="G380" s="3">
        <f t="shared" si="380"/>
        <v>0</v>
      </c>
      <c r="H380" s="7">
        <v>0.0</v>
      </c>
      <c r="I380" s="3">
        <f t="shared" si="381"/>
        <v>0</v>
      </c>
      <c r="J380" s="3">
        <f t="shared" ref="J380:K380" si="391">D380+F380+H380</f>
        <v>0</v>
      </c>
      <c r="K380" s="3">
        <f t="shared" si="391"/>
        <v>0</v>
      </c>
      <c r="L380" s="6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3" t="s">
        <v>21</v>
      </c>
      <c r="B381" s="3" t="s">
        <v>14</v>
      </c>
      <c r="C381" s="3">
        <v>149.0</v>
      </c>
      <c r="D381" s="7">
        <v>0.0</v>
      </c>
      <c r="E381" s="3">
        <f t="shared" si="379"/>
        <v>0</v>
      </c>
      <c r="F381" s="7">
        <v>0.0</v>
      </c>
      <c r="G381" s="3">
        <f t="shared" si="380"/>
        <v>0</v>
      </c>
      <c r="H381" s="7">
        <v>0.0</v>
      </c>
      <c r="I381" s="3">
        <f t="shared" si="381"/>
        <v>0</v>
      </c>
      <c r="J381" s="3">
        <f t="shared" ref="J381:K381" si="392">D381+F381+H381</f>
        <v>0</v>
      </c>
      <c r="K381" s="3">
        <f t="shared" si="392"/>
        <v>0</v>
      </c>
      <c r="L381" s="6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3" t="s">
        <v>21</v>
      </c>
      <c r="B382" s="3" t="s">
        <v>24</v>
      </c>
      <c r="C382" s="3">
        <v>149.0</v>
      </c>
      <c r="D382" s="7">
        <v>0.0</v>
      </c>
      <c r="E382" s="3">
        <f t="shared" si="379"/>
        <v>0</v>
      </c>
      <c r="F382" s="7">
        <v>0.0</v>
      </c>
      <c r="G382" s="3">
        <f t="shared" si="380"/>
        <v>0</v>
      </c>
      <c r="H382" s="7">
        <v>0.0</v>
      </c>
      <c r="I382" s="3">
        <f t="shared" si="381"/>
        <v>0</v>
      </c>
      <c r="J382" s="3">
        <f t="shared" ref="J382:K382" si="393">D382+F382+H382</f>
        <v>0</v>
      </c>
      <c r="K382" s="3">
        <f t="shared" si="393"/>
        <v>0</v>
      </c>
      <c r="L382" s="6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3" t="s">
        <v>21</v>
      </c>
      <c r="B383" s="3" t="s">
        <v>25</v>
      </c>
      <c r="C383" s="3">
        <v>149.0</v>
      </c>
      <c r="D383" s="7">
        <v>0.0</v>
      </c>
      <c r="E383" s="3">
        <f t="shared" si="379"/>
        <v>0</v>
      </c>
      <c r="F383" s="7">
        <v>0.0</v>
      </c>
      <c r="G383" s="3">
        <f t="shared" si="380"/>
        <v>0</v>
      </c>
      <c r="H383" s="7">
        <v>0.0</v>
      </c>
      <c r="I383" s="3">
        <f t="shared" si="381"/>
        <v>0</v>
      </c>
      <c r="J383" s="3">
        <f t="shared" ref="J383:K383" si="394">D383+F383+H383</f>
        <v>0</v>
      </c>
      <c r="K383" s="3">
        <f t="shared" si="394"/>
        <v>0</v>
      </c>
      <c r="L383" s="6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3" t="s">
        <v>21</v>
      </c>
      <c r="B384" s="3" t="s">
        <v>26</v>
      </c>
      <c r="C384" s="3">
        <v>149.0</v>
      </c>
      <c r="D384" s="7">
        <v>0.0</v>
      </c>
      <c r="E384" s="3">
        <f t="shared" si="379"/>
        <v>0</v>
      </c>
      <c r="F384" s="7">
        <v>0.0</v>
      </c>
      <c r="G384" s="3">
        <f t="shared" si="380"/>
        <v>0</v>
      </c>
      <c r="H384" s="7">
        <v>0.0</v>
      </c>
      <c r="I384" s="3">
        <f t="shared" si="381"/>
        <v>0</v>
      </c>
      <c r="J384" s="3">
        <f t="shared" ref="J384:K384" si="395">D384+F384+H384</f>
        <v>0</v>
      </c>
      <c r="K384" s="3">
        <f t="shared" si="395"/>
        <v>0</v>
      </c>
      <c r="L384" s="6"/>
    </row>
    <row r="385" ht="15.75" customHeight="1">
      <c r="A385" s="3" t="s">
        <v>21</v>
      </c>
      <c r="B385" s="3" t="s">
        <v>27</v>
      </c>
      <c r="C385" s="3">
        <v>149.0</v>
      </c>
      <c r="D385" s="7">
        <v>0.0</v>
      </c>
      <c r="E385" s="3">
        <f t="shared" si="379"/>
        <v>0</v>
      </c>
      <c r="F385" s="7">
        <v>0.0</v>
      </c>
      <c r="G385" s="3">
        <f t="shared" si="380"/>
        <v>0</v>
      </c>
      <c r="H385" s="7">
        <v>0.0</v>
      </c>
      <c r="I385" s="3">
        <f t="shared" si="381"/>
        <v>0</v>
      </c>
      <c r="J385" s="3">
        <f t="shared" ref="J385:K385" si="396">D385+F385+H385</f>
        <v>0</v>
      </c>
      <c r="K385" s="3">
        <f t="shared" si="396"/>
        <v>0</v>
      </c>
      <c r="L385" s="6"/>
    </row>
    <row r="386" ht="15.75" customHeight="1">
      <c r="A386" s="3" t="s">
        <v>21</v>
      </c>
      <c r="B386" s="3" t="s">
        <v>28</v>
      </c>
      <c r="C386" s="3">
        <v>149.0</v>
      </c>
      <c r="D386" s="7">
        <v>0.0</v>
      </c>
      <c r="E386" s="3">
        <f t="shared" si="379"/>
        <v>0</v>
      </c>
      <c r="F386" s="7">
        <v>0.0</v>
      </c>
      <c r="G386" s="3">
        <f t="shared" si="380"/>
        <v>0</v>
      </c>
      <c r="H386" s="7">
        <v>0.0</v>
      </c>
      <c r="I386" s="3">
        <f t="shared" si="381"/>
        <v>0</v>
      </c>
      <c r="J386" s="3">
        <f t="shared" ref="J386:K386" si="397">D386+F386+H386</f>
        <v>0</v>
      </c>
      <c r="K386" s="3">
        <f t="shared" si="397"/>
        <v>0</v>
      </c>
      <c r="L386" s="6"/>
    </row>
    <row r="387" ht="15.75" customHeight="1">
      <c r="A387" s="3" t="s">
        <v>21</v>
      </c>
      <c r="B387" s="3" t="s">
        <v>29</v>
      </c>
      <c r="C387" s="3">
        <v>149.0</v>
      </c>
      <c r="D387" s="7">
        <v>0.0</v>
      </c>
      <c r="E387" s="3">
        <f t="shared" si="379"/>
        <v>0</v>
      </c>
      <c r="F387" s="7">
        <v>0.0</v>
      </c>
      <c r="G387" s="3">
        <f t="shared" si="380"/>
        <v>0</v>
      </c>
      <c r="H387" s="7">
        <v>0.0</v>
      </c>
      <c r="I387" s="3">
        <f t="shared" si="381"/>
        <v>0</v>
      </c>
      <c r="J387" s="3">
        <f t="shared" ref="J387:K387" si="398">D387+F387+H387</f>
        <v>0</v>
      </c>
      <c r="K387" s="3">
        <f t="shared" si="398"/>
        <v>0</v>
      </c>
      <c r="L387" s="6"/>
    </row>
    <row r="388" ht="15.75" customHeight="1">
      <c r="A388" s="3" t="s">
        <v>21</v>
      </c>
      <c r="B388" s="3" t="s">
        <v>30</v>
      </c>
      <c r="C388" s="3">
        <v>149.0</v>
      </c>
      <c r="D388" s="7">
        <v>0.0</v>
      </c>
      <c r="E388" s="3">
        <f t="shared" si="379"/>
        <v>0</v>
      </c>
      <c r="F388" s="7">
        <v>0.0</v>
      </c>
      <c r="G388" s="3">
        <f t="shared" si="380"/>
        <v>0</v>
      </c>
      <c r="H388" s="7">
        <v>0.0</v>
      </c>
      <c r="I388" s="3">
        <f t="shared" si="381"/>
        <v>0</v>
      </c>
      <c r="J388" s="3">
        <f t="shared" ref="J388:K388" si="399">D388+F388+H388</f>
        <v>0</v>
      </c>
      <c r="K388" s="3">
        <f t="shared" si="399"/>
        <v>0</v>
      </c>
      <c r="L388" s="6"/>
    </row>
    <row r="389" ht="15.75" customHeight="1">
      <c r="A389" s="3" t="s">
        <v>21</v>
      </c>
      <c r="B389" s="3" t="s">
        <v>31</v>
      </c>
      <c r="C389" s="3">
        <v>149.0</v>
      </c>
      <c r="D389" s="7">
        <v>1.0</v>
      </c>
      <c r="E389" s="3">
        <f t="shared" si="379"/>
        <v>149</v>
      </c>
      <c r="F389" s="7">
        <v>0.0</v>
      </c>
      <c r="G389" s="3">
        <f t="shared" si="380"/>
        <v>0</v>
      </c>
      <c r="H389" s="7">
        <v>0.0</v>
      </c>
      <c r="I389" s="3">
        <f t="shared" si="381"/>
        <v>0</v>
      </c>
      <c r="J389" s="3">
        <f t="shared" ref="J389:K389" si="400">D389+F389+H389</f>
        <v>1</v>
      </c>
      <c r="K389" s="3">
        <f t="shared" si="400"/>
        <v>149</v>
      </c>
      <c r="L389" s="6"/>
    </row>
    <row r="390" ht="15.75" customHeight="1">
      <c r="A390" s="3" t="s">
        <v>21</v>
      </c>
      <c r="B390" s="3" t="s">
        <v>32</v>
      </c>
      <c r="C390" s="3">
        <v>149.0</v>
      </c>
      <c r="D390" s="7">
        <v>0.0</v>
      </c>
      <c r="E390" s="3">
        <f t="shared" si="379"/>
        <v>0</v>
      </c>
      <c r="F390" s="7">
        <v>0.0</v>
      </c>
      <c r="G390" s="3">
        <f t="shared" si="380"/>
        <v>0</v>
      </c>
      <c r="H390" s="7">
        <v>0.0</v>
      </c>
      <c r="I390" s="3">
        <f t="shared" si="381"/>
        <v>0</v>
      </c>
      <c r="J390" s="3">
        <f t="shared" ref="J390:K390" si="401">D390+F390+H390</f>
        <v>0</v>
      </c>
      <c r="K390" s="3">
        <f t="shared" si="401"/>
        <v>0</v>
      </c>
      <c r="L390" s="6"/>
    </row>
    <row r="391" ht="15.75" customHeight="1">
      <c r="A391" s="3" t="s">
        <v>33</v>
      </c>
      <c r="B391" s="3" t="s">
        <v>34</v>
      </c>
      <c r="C391" s="3">
        <v>159.0</v>
      </c>
      <c r="D391" s="7">
        <v>1.0</v>
      </c>
      <c r="E391" s="16">
        <v>159.0</v>
      </c>
      <c r="F391" s="7">
        <v>1.0</v>
      </c>
      <c r="G391" s="16">
        <v>159.0</v>
      </c>
      <c r="H391" s="7">
        <v>0.0</v>
      </c>
      <c r="I391" s="3">
        <f t="shared" si="381"/>
        <v>0</v>
      </c>
      <c r="J391" s="3">
        <f t="shared" ref="J391:K391" si="402">D391+F391+H391</f>
        <v>2</v>
      </c>
      <c r="K391" s="3">
        <f t="shared" si="402"/>
        <v>318</v>
      </c>
      <c r="L391" s="6"/>
    </row>
    <row r="392" ht="15.75" customHeight="1">
      <c r="A392" s="3" t="s">
        <v>33</v>
      </c>
      <c r="B392" s="3" t="s">
        <v>35</v>
      </c>
      <c r="C392" s="3">
        <v>159.0</v>
      </c>
      <c r="D392" s="7">
        <v>1.0</v>
      </c>
      <c r="E392" s="3">
        <f t="shared" ref="E392:E412" si="404">C392*D392</f>
        <v>159</v>
      </c>
      <c r="F392" s="7">
        <v>2.0</v>
      </c>
      <c r="G392" s="3">
        <f t="shared" ref="G392:G412" si="405">C392*F392</f>
        <v>318</v>
      </c>
      <c r="H392" s="7">
        <v>0.0</v>
      </c>
      <c r="I392" s="3">
        <f t="shared" si="381"/>
        <v>0</v>
      </c>
      <c r="J392" s="3">
        <f t="shared" ref="J392:K392" si="403">D392+F392+H392</f>
        <v>3</v>
      </c>
      <c r="K392" s="3">
        <f t="shared" si="403"/>
        <v>477</v>
      </c>
      <c r="L392" s="6"/>
    </row>
    <row r="393" ht="15.75" customHeight="1">
      <c r="A393" s="3" t="s">
        <v>33</v>
      </c>
      <c r="B393" s="3" t="s">
        <v>36</v>
      </c>
      <c r="C393" s="3">
        <v>159.0</v>
      </c>
      <c r="D393" s="7">
        <v>0.0</v>
      </c>
      <c r="E393" s="3">
        <f t="shared" si="404"/>
        <v>0</v>
      </c>
      <c r="F393" s="7">
        <v>0.0</v>
      </c>
      <c r="G393" s="3">
        <f t="shared" si="405"/>
        <v>0</v>
      </c>
      <c r="H393" s="7">
        <v>0.0</v>
      </c>
      <c r="I393" s="3">
        <f t="shared" si="381"/>
        <v>0</v>
      </c>
      <c r="J393" s="3">
        <f t="shared" ref="J393:K393" si="406">D393+F393+H393</f>
        <v>0</v>
      </c>
      <c r="K393" s="3">
        <f t="shared" si="406"/>
        <v>0</v>
      </c>
      <c r="L393" s="6"/>
    </row>
    <row r="394" ht="15.75" customHeight="1">
      <c r="A394" s="3" t="s">
        <v>33</v>
      </c>
      <c r="B394" s="3" t="s">
        <v>37</v>
      </c>
      <c r="C394" s="3">
        <v>159.0</v>
      </c>
      <c r="D394" s="7">
        <v>1.0</v>
      </c>
      <c r="E394" s="3">
        <f t="shared" si="404"/>
        <v>159</v>
      </c>
      <c r="F394" s="7">
        <v>0.0</v>
      </c>
      <c r="G394" s="3">
        <f t="shared" si="405"/>
        <v>0</v>
      </c>
      <c r="H394" s="7">
        <v>0.0</v>
      </c>
      <c r="I394" s="3">
        <f t="shared" si="381"/>
        <v>0</v>
      </c>
      <c r="J394" s="3">
        <f t="shared" ref="J394:K394" si="407">D394+F394+H394</f>
        <v>1</v>
      </c>
      <c r="K394" s="3">
        <f t="shared" si="407"/>
        <v>159</v>
      </c>
      <c r="L394" s="6"/>
    </row>
    <row r="395" ht="15.75" customHeight="1">
      <c r="A395" s="3" t="s">
        <v>38</v>
      </c>
      <c r="B395" s="3" t="s">
        <v>31</v>
      </c>
      <c r="C395" s="3">
        <v>99.0</v>
      </c>
      <c r="D395" s="7">
        <v>0.0</v>
      </c>
      <c r="E395" s="3">
        <f t="shared" si="404"/>
        <v>0</v>
      </c>
      <c r="F395" s="7">
        <v>0.0</v>
      </c>
      <c r="G395" s="3">
        <f t="shared" si="405"/>
        <v>0</v>
      </c>
      <c r="H395" s="7">
        <v>0.0</v>
      </c>
      <c r="I395" s="3">
        <f t="shared" si="381"/>
        <v>0</v>
      </c>
      <c r="J395" s="3">
        <f t="shared" ref="J395:K395" si="408">D395+F395+H395</f>
        <v>0</v>
      </c>
      <c r="K395" s="3">
        <f t="shared" si="408"/>
        <v>0</v>
      </c>
      <c r="L395" s="6"/>
    </row>
    <row r="396" ht="15.75" customHeight="1">
      <c r="A396" s="3" t="s">
        <v>38</v>
      </c>
      <c r="B396" s="3" t="s">
        <v>24</v>
      </c>
      <c r="C396" s="3">
        <v>99.0</v>
      </c>
      <c r="D396" s="7">
        <v>1.0</v>
      </c>
      <c r="E396" s="3">
        <f t="shared" si="404"/>
        <v>99</v>
      </c>
      <c r="F396" s="7">
        <v>0.0</v>
      </c>
      <c r="G396" s="3">
        <f t="shared" si="405"/>
        <v>0</v>
      </c>
      <c r="H396" s="7">
        <v>0.0</v>
      </c>
      <c r="I396" s="3">
        <f t="shared" si="381"/>
        <v>0</v>
      </c>
      <c r="J396" s="3">
        <f t="shared" ref="J396:K396" si="409">D396+F396+H396</f>
        <v>1</v>
      </c>
      <c r="K396" s="3">
        <f t="shared" si="409"/>
        <v>99</v>
      </c>
      <c r="L396" s="6"/>
    </row>
    <row r="397" ht="15.75" customHeight="1">
      <c r="A397" s="3" t="s">
        <v>38</v>
      </c>
      <c r="B397" s="3" t="s">
        <v>39</v>
      </c>
      <c r="C397" s="3">
        <v>99.0</v>
      </c>
      <c r="D397" s="7">
        <v>0.0</v>
      </c>
      <c r="E397" s="3">
        <f t="shared" si="404"/>
        <v>0</v>
      </c>
      <c r="F397" s="7">
        <v>0.0</v>
      </c>
      <c r="G397" s="3">
        <f t="shared" si="405"/>
        <v>0</v>
      </c>
      <c r="H397" s="7">
        <v>0.0</v>
      </c>
      <c r="I397" s="3">
        <f t="shared" si="381"/>
        <v>0</v>
      </c>
      <c r="J397" s="3">
        <f t="shared" ref="J397:K397" si="410">D397+F397+H397</f>
        <v>0</v>
      </c>
      <c r="K397" s="3">
        <f t="shared" si="410"/>
        <v>0</v>
      </c>
      <c r="L397" s="6"/>
    </row>
    <row r="398" ht="15.75" customHeight="1">
      <c r="A398" s="3" t="s">
        <v>38</v>
      </c>
      <c r="B398" s="3" t="s">
        <v>40</v>
      </c>
      <c r="C398" s="3">
        <v>99.0</v>
      </c>
      <c r="D398" s="7">
        <v>0.0</v>
      </c>
      <c r="E398" s="3">
        <f t="shared" si="404"/>
        <v>0</v>
      </c>
      <c r="F398" s="7">
        <v>0.0</v>
      </c>
      <c r="G398" s="3">
        <f t="shared" si="405"/>
        <v>0</v>
      </c>
      <c r="H398" s="7">
        <v>0.0</v>
      </c>
      <c r="I398" s="3">
        <f t="shared" si="381"/>
        <v>0</v>
      </c>
      <c r="J398" s="3">
        <f t="shared" ref="J398:K398" si="411">D398+F398+H398</f>
        <v>0</v>
      </c>
      <c r="K398" s="3">
        <f t="shared" si="411"/>
        <v>0</v>
      </c>
      <c r="L398" s="6"/>
    </row>
    <row r="399" ht="15.75" customHeight="1">
      <c r="A399" s="3" t="s">
        <v>38</v>
      </c>
      <c r="B399" s="3" t="s">
        <v>41</v>
      </c>
      <c r="C399" s="3">
        <v>99.0</v>
      </c>
      <c r="D399" s="7">
        <v>0.0</v>
      </c>
      <c r="E399" s="3">
        <f t="shared" si="404"/>
        <v>0</v>
      </c>
      <c r="F399" s="7">
        <v>0.0</v>
      </c>
      <c r="G399" s="3">
        <f t="shared" si="405"/>
        <v>0</v>
      </c>
      <c r="H399" s="7">
        <v>0.0</v>
      </c>
      <c r="I399" s="3">
        <f t="shared" si="381"/>
        <v>0</v>
      </c>
      <c r="J399" s="3">
        <f t="shared" ref="J399:K399" si="412">D399+F399+H399</f>
        <v>0</v>
      </c>
      <c r="K399" s="3">
        <f t="shared" si="412"/>
        <v>0</v>
      </c>
      <c r="L399" s="6"/>
    </row>
    <row r="400" ht="15.75" customHeight="1">
      <c r="A400" s="3" t="s">
        <v>42</v>
      </c>
      <c r="B400" s="3" t="s">
        <v>43</v>
      </c>
      <c r="C400" s="3">
        <v>149.0</v>
      </c>
      <c r="D400" s="7">
        <v>0.0</v>
      </c>
      <c r="E400" s="3">
        <f t="shared" si="404"/>
        <v>0</v>
      </c>
      <c r="F400" s="7">
        <v>0.0</v>
      </c>
      <c r="G400" s="3">
        <f t="shared" si="405"/>
        <v>0</v>
      </c>
      <c r="H400" s="7">
        <v>0.0</v>
      </c>
      <c r="I400" s="3">
        <f t="shared" si="381"/>
        <v>0</v>
      </c>
      <c r="J400" s="3">
        <f t="shared" ref="J400:K400" si="413">D400+F400+H400</f>
        <v>0</v>
      </c>
      <c r="K400" s="3">
        <f t="shared" si="413"/>
        <v>0</v>
      </c>
      <c r="L400" s="6"/>
    </row>
    <row r="401" ht="15.75" customHeight="1">
      <c r="A401" s="3" t="s">
        <v>42</v>
      </c>
      <c r="B401" s="3" t="s">
        <v>44</v>
      </c>
      <c r="C401" s="3">
        <v>149.0</v>
      </c>
      <c r="D401" s="7">
        <v>0.0</v>
      </c>
      <c r="E401" s="3">
        <f t="shared" si="404"/>
        <v>0</v>
      </c>
      <c r="F401" s="7">
        <v>0.0</v>
      </c>
      <c r="G401" s="3">
        <f t="shared" si="405"/>
        <v>0</v>
      </c>
      <c r="H401" s="7">
        <v>0.0</v>
      </c>
      <c r="I401" s="3">
        <f t="shared" si="381"/>
        <v>0</v>
      </c>
      <c r="J401" s="3">
        <f t="shared" ref="J401:K401" si="414">D401+F401+H401</f>
        <v>0</v>
      </c>
      <c r="K401" s="3">
        <f t="shared" si="414"/>
        <v>0</v>
      </c>
      <c r="L401" s="6"/>
    </row>
    <row r="402" ht="15.75" customHeight="1">
      <c r="A402" s="3" t="s">
        <v>42</v>
      </c>
      <c r="B402" s="3" t="s">
        <v>45</v>
      </c>
      <c r="C402" s="3">
        <v>149.0</v>
      </c>
      <c r="D402" s="7">
        <v>0.0</v>
      </c>
      <c r="E402" s="3">
        <f t="shared" si="404"/>
        <v>0</v>
      </c>
      <c r="F402" s="7">
        <v>0.0</v>
      </c>
      <c r="G402" s="3">
        <f t="shared" si="405"/>
        <v>0</v>
      </c>
      <c r="H402" s="7">
        <v>0.0</v>
      </c>
      <c r="I402" s="3">
        <f t="shared" si="381"/>
        <v>0</v>
      </c>
      <c r="J402" s="3">
        <f t="shared" ref="J402:K402" si="415">D402+F402+H402</f>
        <v>0</v>
      </c>
      <c r="K402" s="3">
        <f t="shared" si="415"/>
        <v>0</v>
      </c>
      <c r="L402" s="6"/>
    </row>
    <row r="403" ht="15.75" customHeight="1">
      <c r="A403" s="3" t="s">
        <v>42</v>
      </c>
      <c r="B403" s="3" t="s">
        <v>46</v>
      </c>
      <c r="C403" s="3">
        <v>149.0</v>
      </c>
      <c r="D403" s="7">
        <v>0.0</v>
      </c>
      <c r="E403" s="3">
        <f t="shared" si="404"/>
        <v>0</v>
      </c>
      <c r="F403" s="7">
        <v>0.0</v>
      </c>
      <c r="G403" s="3">
        <f t="shared" si="405"/>
        <v>0</v>
      </c>
      <c r="H403" s="7">
        <v>0.0</v>
      </c>
      <c r="I403" s="3">
        <f t="shared" si="381"/>
        <v>0</v>
      </c>
      <c r="J403" s="3">
        <f t="shared" ref="J403:K403" si="416">D403+F403+H403</f>
        <v>0</v>
      </c>
      <c r="K403" s="3">
        <f t="shared" si="416"/>
        <v>0</v>
      </c>
      <c r="L403" s="6"/>
    </row>
    <row r="404" ht="15.75" customHeight="1">
      <c r="A404" s="3" t="s">
        <v>47</v>
      </c>
      <c r="B404" s="3" t="s">
        <v>48</v>
      </c>
      <c r="C404" s="3">
        <v>25.0</v>
      </c>
      <c r="D404" s="7">
        <v>2.0</v>
      </c>
      <c r="E404" s="3">
        <f t="shared" si="404"/>
        <v>50</v>
      </c>
      <c r="F404" s="7">
        <v>4.0</v>
      </c>
      <c r="G404" s="3">
        <f t="shared" si="405"/>
        <v>100</v>
      </c>
      <c r="H404" s="7">
        <v>0.0</v>
      </c>
      <c r="I404" s="3">
        <f t="shared" si="381"/>
        <v>0</v>
      </c>
      <c r="J404" s="3">
        <f t="shared" ref="J404:K404" si="417">D404+F404+H404</f>
        <v>6</v>
      </c>
      <c r="K404" s="3">
        <f t="shared" si="417"/>
        <v>150</v>
      </c>
      <c r="L404" s="6"/>
    </row>
    <row r="405" ht="15.75" customHeight="1">
      <c r="A405" s="3" t="s">
        <v>47</v>
      </c>
      <c r="B405" s="3" t="s">
        <v>49</v>
      </c>
      <c r="C405" s="3">
        <v>20.0</v>
      </c>
      <c r="D405" s="7">
        <v>0.0</v>
      </c>
      <c r="E405" s="3">
        <f t="shared" si="404"/>
        <v>0</v>
      </c>
      <c r="F405" s="7">
        <v>0.0</v>
      </c>
      <c r="G405" s="3">
        <f t="shared" si="405"/>
        <v>0</v>
      </c>
      <c r="H405" s="7">
        <v>0.0</v>
      </c>
      <c r="I405" s="3">
        <f t="shared" si="381"/>
        <v>0</v>
      </c>
      <c r="J405" s="3">
        <f t="shared" ref="J405:K405" si="418">D405+F405+H405</f>
        <v>0</v>
      </c>
      <c r="K405" s="3">
        <f t="shared" si="418"/>
        <v>0</v>
      </c>
      <c r="L405" s="6"/>
    </row>
    <row r="406" ht="15.75" customHeight="1">
      <c r="A406" s="3" t="s">
        <v>47</v>
      </c>
      <c r="B406" s="3" t="s">
        <v>50</v>
      </c>
      <c r="C406" s="3">
        <v>20.0</v>
      </c>
      <c r="D406" s="7">
        <v>0.0</v>
      </c>
      <c r="E406" s="3">
        <f t="shared" si="404"/>
        <v>0</v>
      </c>
      <c r="F406" s="7">
        <v>0.0</v>
      </c>
      <c r="G406" s="3">
        <f t="shared" si="405"/>
        <v>0</v>
      </c>
      <c r="H406" s="7">
        <v>0.0</v>
      </c>
      <c r="I406" s="3">
        <f t="shared" si="381"/>
        <v>0</v>
      </c>
      <c r="J406" s="3">
        <f t="shared" ref="J406:K406" si="419">D406+F406+H406</f>
        <v>0</v>
      </c>
      <c r="K406" s="3">
        <f t="shared" si="419"/>
        <v>0</v>
      </c>
      <c r="L406" s="6"/>
    </row>
    <row r="407" ht="15.75" customHeight="1">
      <c r="A407" s="3" t="s">
        <v>47</v>
      </c>
      <c r="B407" s="3" t="s">
        <v>51</v>
      </c>
      <c r="C407" s="3">
        <v>20.0</v>
      </c>
      <c r="D407" s="7">
        <v>2.0</v>
      </c>
      <c r="E407" s="3">
        <f t="shared" si="404"/>
        <v>40</v>
      </c>
      <c r="F407" s="7">
        <v>7.0</v>
      </c>
      <c r="G407" s="3">
        <f t="shared" si="405"/>
        <v>140</v>
      </c>
      <c r="H407" s="7">
        <v>0.0</v>
      </c>
      <c r="I407" s="3">
        <f t="shared" si="381"/>
        <v>0</v>
      </c>
      <c r="J407" s="3">
        <f t="shared" ref="J407:K407" si="420">D407+F407+H407</f>
        <v>9</v>
      </c>
      <c r="K407" s="3">
        <f t="shared" si="420"/>
        <v>180</v>
      </c>
      <c r="L407" s="6"/>
    </row>
    <row r="408" ht="15.75" customHeight="1">
      <c r="A408" s="3" t="s">
        <v>47</v>
      </c>
      <c r="B408" s="3" t="s">
        <v>52</v>
      </c>
      <c r="C408" s="3">
        <v>25.0</v>
      </c>
      <c r="D408" s="7">
        <v>0.0</v>
      </c>
      <c r="E408" s="3">
        <f t="shared" si="404"/>
        <v>0</v>
      </c>
      <c r="F408" s="7">
        <v>0.0</v>
      </c>
      <c r="G408" s="3">
        <f t="shared" si="405"/>
        <v>0</v>
      </c>
      <c r="H408" s="7">
        <v>0.0</v>
      </c>
      <c r="I408" s="3">
        <f t="shared" si="381"/>
        <v>0</v>
      </c>
      <c r="J408" s="3">
        <f t="shared" ref="J408:K408" si="421">D408+F408+H408</f>
        <v>0</v>
      </c>
      <c r="K408" s="3">
        <f t="shared" si="421"/>
        <v>0</v>
      </c>
      <c r="L408" s="6"/>
    </row>
    <row r="409" ht="15.75" customHeight="1">
      <c r="A409" s="3" t="s">
        <v>47</v>
      </c>
      <c r="B409" s="3" t="s">
        <v>53</v>
      </c>
      <c r="C409" s="3">
        <v>20.0</v>
      </c>
      <c r="D409" s="7">
        <v>1.0</v>
      </c>
      <c r="E409" s="3">
        <f t="shared" si="404"/>
        <v>20</v>
      </c>
      <c r="F409" s="7">
        <v>0.0</v>
      </c>
      <c r="G409" s="3">
        <f t="shared" si="405"/>
        <v>0</v>
      </c>
      <c r="H409" s="7">
        <v>0.0</v>
      </c>
      <c r="I409" s="3">
        <f t="shared" si="381"/>
        <v>0</v>
      </c>
      <c r="J409" s="3">
        <f t="shared" ref="J409:K409" si="422">D409+F409+H409</f>
        <v>1</v>
      </c>
      <c r="K409" s="3">
        <f t="shared" si="422"/>
        <v>20</v>
      </c>
      <c r="L409" s="6"/>
    </row>
    <row r="410" ht="15.75" customHeight="1">
      <c r="A410" s="3" t="s">
        <v>54</v>
      </c>
      <c r="B410" s="3" t="s">
        <v>55</v>
      </c>
      <c r="C410" s="3">
        <v>149.0</v>
      </c>
      <c r="D410" s="7">
        <v>4.0</v>
      </c>
      <c r="E410" s="3">
        <f t="shared" si="404"/>
        <v>596</v>
      </c>
      <c r="F410" s="7">
        <v>0.0</v>
      </c>
      <c r="G410" s="3">
        <f t="shared" si="405"/>
        <v>0</v>
      </c>
      <c r="H410" s="7">
        <v>1.0</v>
      </c>
      <c r="I410" s="3">
        <f t="shared" si="381"/>
        <v>149</v>
      </c>
      <c r="J410" s="3">
        <f t="shared" ref="J410:K410" si="423">D410+F410+H410</f>
        <v>5</v>
      </c>
      <c r="K410" s="3">
        <f t="shared" si="423"/>
        <v>745</v>
      </c>
      <c r="L410" s="6"/>
    </row>
    <row r="411" ht="15.75" customHeight="1">
      <c r="A411" s="3" t="s">
        <v>54</v>
      </c>
      <c r="B411" s="3" t="s">
        <v>56</v>
      </c>
      <c r="C411" s="3">
        <v>149.0</v>
      </c>
      <c r="D411" s="7">
        <v>0.0</v>
      </c>
      <c r="E411" s="3">
        <f t="shared" si="404"/>
        <v>0</v>
      </c>
      <c r="F411" s="7">
        <v>0.0</v>
      </c>
      <c r="G411" s="3">
        <f t="shared" si="405"/>
        <v>0</v>
      </c>
      <c r="H411" s="7">
        <v>0.0</v>
      </c>
      <c r="I411" s="3">
        <f t="shared" si="381"/>
        <v>0</v>
      </c>
      <c r="J411" s="3">
        <f t="shared" ref="J411:K411" si="424">D411+F411+H411</f>
        <v>0</v>
      </c>
      <c r="K411" s="3">
        <f t="shared" si="424"/>
        <v>0</v>
      </c>
      <c r="L411" s="6"/>
    </row>
    <row r="412" ht="15.75" customHeight="1">
      <c r="A412" s="3" t="s">
        <v>54</v>
      </c>
      <c r="B412" s="3" t="s">
        <v>57</v>
      </c>
      <c r="C412" s="3">
        <v>149.0</v>
      </c>
      <c r="D412" s="7">
        <v>0.0</v>
      </c>
      <c r="E412" s="3">
        <f t="shared" si="404"/>
        <v>0</v>
      </c>
      <c r="F412" s="7">
        <v>0.0</v>
      </c>
      <c r="G412" s="3">
        <f t="shared" si="405"/>
        <v>0</v>
      </c>
      <c r="H412" s="7">
        <v>0.0</v>
      </c>
      <c r="I412" s="3">
        <f t="shared" si="381"/>
        <v>0</v>
      </c>
      <c r="J412" s="3">
        <f t="shared" ref="J412:K412" si="425">D412+F412+H412</f>
        <v>0</v>
      </c>
      <c r="K412" s="3">
        <f t="shared" si="425"/>
        <v>0</v>
      </c>
      <c r="L412" s="6"/>
    </row>
    <row r="413" ht="15.75" customHeight="1">
      <c r="A413" s="8" t="s">
        <v>58</v>
      </c>
      <c r="B413" s="9"/>
      <c r="C413" s="9"/>
      <c r="D413" s="9"/>
      <c r="E413" s="8">
        <f>SUM(E370:E412)</f>
        <v>1580</v>
      </c>
      <c r="F413" s="9"/>
      <c r="G413" s="8">
        <f>SUM(G370:G412)</f>
        <v>1851</v>
      </c>
      <c r="H413" s="9"/>
      <c r="I413" s="8">
        <f t="shared" ref="I413:K413" si="426">SUM(I370:I412)</f>
        <v>338</v>
      </c>
      <c r="J413" s="8">
        <f t="shared" si="426"/>
        <v>37</v>
      </c>
      <c r="K413" s="8">
        <f t="shared" si="426"/>
        <v>3769</v>
      </c>
      <c r="L413" s="12">
        <v>46009.0</v>
      </c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1" t="s">
        <v>0</v>
      </c>
      <c r="B415" s="1" t="s">
        <v>1</v>
      </c>
      <c r="C415" s="1" t="s">
        <v>2</v>
      </c>
      <c r="D415" s="2" t="s">
        <v>3</v>
      </c>
      <c r="E415" s="1" t="s">
        <v>4</v>
      </c>
      <c r="F415" s="2" t="s">
        <v>5</v>
      </c>
      <c r="G415" s="1" t="s">
        <v>6</v>
      </c>
      <c r="H415" s="2" t="s">
        <v>7</v>
      </c>
      <c r="I415" s="1" t="s">
        <v>8</v>
      </c>
      <c r="J415" s="1" t="s">
        <v>9</v>
      </c>
      <c r="K415" s="1" t="s">
        <v>10</v>
      </c>
      <c r="L415" s="3" t="s">
        <v>11</v>
      </c>
    </row>
    <row r="416" ht="15.75" customHeight="1">
      <c r="A416" s="3" t="s">
        <v>12</v>
      </c>
      <c r="B416" s="3" t="s">
        <v>13</v>
      </c>
      <c r="C416" s="3">
        <v>189.0</v>
      </c>
      <c r="D416" s="7">
        <v>0.0</v>
      </c>
      <c r="E416" s="3">
        <f t="shared" ref="E416:E458" si="428">C416*D416</f>
        <v>0</v>
      </c>
      <c r="F416" s="7">
        <v>0.0</v>
      </c>
      <c r="G416" s="4">
        <f t="shared" ref="G416:G458" si="429">C416*F416</f>
        <v>0</v>
      </c>
      <c r="H416" s="7">
        <v>0.0</v>
      </c>
      <c r="I416" s="3">
        <f t="shared" ref="I416:I458" si="430">C416*H416</f>
        <v>0</v>
      </c>
      <c r="J416" s="3">
        <f t="shared" ref="J416:K416" si="427">D416+F416+H416</f>
        <v>0</v>
      </c>
      <c r="K416" s="3">
        <f t="shared" si="427"/>
        <v>0</v>
      </c>
      <c r="L416" s="6"/>
    </row>
    <row r="417" ht="15.75" customHeight="1">
      <c r="A417" s="3" t="s">
        <v>12</v>
      </c>
      <c r="B417" s="3" t="s">
        <v>14</v>
      </c>
      <c r="C417" s="3">
        <v>189.0</v>
      </c>
      <c r="D417" s="7">
        <v>0.0</v>
      </c>
      <c r="E417" s="3">
        <f t="shared" si="428"/>
        <v>0</v>
      </c>
      <c r="F417" s="7">
        <v>0.0</v>
      </c>
      <c r="G417" s="3">
        <f t="shared" si="429"/>
        <v>0</v>
      </c>
      <c r="H417" s="7">
        <v>0.0</v>
      </c>
      <c r="I417" s="3">
        <f t="shared" si="430"/>
        <v>0</v>
      </c>
      <c r="J417" s="3">
        <f t="shared" ref="J417:K417" si="431">D417+F417+H417</f>
        <v>0</v>
      </c>
      <c r="K417" s="3">
        <f t="shared" si="431"/>
        <v>0</v>
      </c>
      <c r="L417" s="6"/>
    </row>
    <row r="418" ht="15.75" customHeight="1">
      <c r="A418" s="3" t="s">
        <v>12</v>
      </c>
      <c r="B418" s="3" t="s">
        <v>15</v>
      </c>
      <c r="C418" s="3">
        <v>189.0</v>
      </c>
      <c r="D418" s="7">
        <v>0.0</v>
      </c>
      <c r="E418" s="3">
        <f t="shared" si="428"/>
        <v>0</v>
      </c>
      <c r="F418" s="7">
        <v>0.0</v>
      </c>
      <c r="G418" s="3">
        <f t="shared" si="429"/>
        <v>0</v>
      </c>
      <c r="H418" s="7">
        <v>0.0</v>
      </c>
      <c r="I418" s="3">
        <f t="shared" si="430"/>
        <v>0</v>
      </c>
      <c r="J418" s="3">
        <f t="shared" ref="J418:K418" si="432">D418+F418+H418</f>
        <v>0</v>
      </c>
      <c r="K418" s="3">
        <f t="shared" si="432"/>
        <v>0</v>
      </c>
      <c r="L418" s="6"/>
    </row>
    <row r="419" ht="15.75" customHeight="1">
      <c r="A419" s="3" t="s">
        <v>12</v>
      </c>
      <c r="B419" s="3" t="s">
        <v>16</v>
      </c>
      <c r="C419" s="3">
        <v>189.0</v>
      </c>
      <c r="D419" s="7">
        <v>0.0</v>
      </c>
      <c r="E419" s="3">
        <f t="shared" si="428"/>
        <v>0</v>
      </c>
      <c r="F419" s="7">
        <v>0.0</v>
      </c>
      <c r="G419" s="3">
        <f t="shared" si="429"/>
        <v>0</v>
      </c>
      <c r="H419" s="7">
        <v>0.0</v>
      </c>
      <c r="I419" s="3">
        <f t="shared" si="430"/>
        <v>0</v>
      </c>
      <c r="J419" s="3">
        <f t="shared" ref="J419:K419" si="433">D419+F419+H419</f>
        <v>0</v>
      </c>
      <c r="K419" s="3">
        <f t="shared" si="433"/>
        <v>0</v>
      </c>
      <c r="L419" s="6"/>
    </row>
    <row r="420" ht="15.75" customHeight="1">
      <c r="A420" s="3" t="s">
        <v>12</v>
      </c>
      <c r="B420" s="3" t="s">
        <v>17</v>
      </c>
      <c r="C420" s="3">
        <v>189.0</v>
      </c>
      <c r="D420" s="7">
        <v>0.0</v>
      </c>
      <c r="E420" s="3">
        <f t="shared" si="428"/>
        <v>0</v>
      </c>
      <c r="F420" s="7">
        <v>0.0</v>
      </c>
      <c r="G420" s="3">
        <f t="shared" si="429"/>
        <v>0</v>
      </c>
      <c r="H420" s="7">
        <v>0.0</v>
      </c>
      <c r="I420" s="3">
        <f t="shared" si="430"/>
        <v>0</v>
      </c>
      <c r="J420" s="3">
        <f t="shared" ref="J420:K420" si="434">D420+F420+H420</f>
        <v>0</v>
      </c>
      <c r="K420" s="3">
        <f t="shared" si="434"/>
        <v>0</v>
      </c>
      <c r="L420" s="6"/>
    </row>
    <row r="421" ht="15.75" customHeight="1">
      <c r="A421" s="3" t="s">
        <v>12</v>
      </c>
      <c r="B421" s="3" t="s">
        <v>18</v>
      </c>
      <c r="C421" s="3">
        <v>189.0</v>
      </c>
      <c r="D421" s="7">
        <v>0.0</v>
      </c>
      <c r="E421" s="3">
        <f t="shared" si="428"/>
        <v>0</v>
      </c>
      <c r="F421" s="7">
        <v>0.0</v>
      </c>
      <c r="G421" s="3">
        <f t="shared" si="429"/>
        <v>0</v>
      </c>
      <c r="H421" s="7">
        <v>0.0</v>
      </c>
      <c r="I421" s="3">
        <f t="shared" si="430"/>
        <v>0</v>
      </c>
      <c r="J421" s="3">
        <f t="shared" ref="J421:K421" si="435">D421+F421+H421</f>
        <v>0</v>
      </c>
      <c r="K421" s="3">
        <f t="shared" si="435"/>
        <v>0</v>
      </c>
      <c r="L421" s="6"/>
    </row>
    <row r="422" ht="15.75" customHeight="1">
      <c r="A422" s="3" t="s">
        <v>12</v>
      </c>
      <c r="B422" s="3" t="s">
        <v>19</v>
      </c>
      <c r="C422" s="3">
        <v>189.0</v>
      </c>
      <c r="D422" s="7">
        <v>0.0</v>
      </c>
      <c r="E422" s="3">
        <f t="shared" si="428"/>
        <v>0</v>
      </c>
      <c r="F422" s="7">
        <v>0.0</v>
      </c>
      <c r="G422" s="3">
        <f t="shared" si="429"/>
        <v>0</v>
      </c>
      <c r="H422" s="7">
        <v>0.0</v>
      </c>
      <c r="I422" s="3">
        <f t="shared" si="430"/>
        <v>0</v>
      </c>
      <c r="J422" s="3">
        <f t="shared" ref="J422:K422" si="436">D422+F422+H422</f>
        <v>0</v>
      </c>
      <c r="K422" s="3">
        <f t="shared" si="436"/>
        <v>0</v>
      </c>
      <c r="L422" s="6"/>
    </row>
    <row r="423" ht="15.75" customHeight="1">
      <c r="A423" s="3" t="s">
        <v>12</v>
      </c>
      <c r="B423" s="3" t="s">
        <v>20</v>
      </c>
      <c r="C423" s="3">
        <v>189.0</v>
      </c>
      <c r="D423" s="7">
        <v>0.0</v>
      </c>
      <c r="E423" s="3">
        <f t="shared" si="428"/>
        <v>0</v>
      </c>
      <c r="F423" s="7">
        <v>0.0</v>
      </c>
      <c r="G423" s="3">
        <f t="shared" si="429"/>
        <v>0</v>
      </c>
      <c r="H423" s="7">
        <v>0.0</v>
      </c>
      <c r="I423" s="3">
        <f t="shared" si="430"/>
        <v>0</v>
      </c>
      <c r="J423" s="3">
        <f t="shared" ref="J423:K423" si="437">D423+F423+H423</f>
        <v>0</v>
      </c>
      <c r="K423" s="3">
        <f t="shared" si="437"/>
        <v>0</v>
      </c>
      <c r="L423" s="6"/>
    </row>
    <row r="424" ht="15.75" customHeight="1">
      <c r="A424" s="3" t="s">
        <v>21</v>
      </c>
      <c r="B424" s="3" t="s">
        <v>20</v>
      </c>
      <c r="C424" s="3">
        <v>149.0</v>
      </c>
      <c r="D424" s="7">
        <v>0.0</v>
      </c>
      <c r="E424" s="3">
        <f t="shared" si="428"/>
        <v>0</v>
      </c>
      <c r="F424" s="7">
        <v>0.0</v>
      </c>
      <c r="G424" s="3">
        <f t="shared" si="429"/>
        <v>0</v>
      </c>
      <c r="H424" s="7">
        <v>0.0</v>
      </c>
      <c r="I424" s="3">
        <f t="shared" si="430"/>
        <v>0</v>
      </c>
      <c r="J424" s="3">
        <f t="shared" ref="J424:K424" si="438">D424+F424+H424</f>
        <v>0</v>
      </c>
      <c r="K424" s="3">
        <f t="shared" si="438"/>
        <v>0</v>
      </c>
      <c r="L424" s="6"/>
    </row>
    <row r="425" ht="15.75" customHeight="1">
      <c r="A425" s="3" t="s">
        <v>21</v>
      </c>
      <c r="B425" s="3" t="s">
        <v>22</v>
      </c>
      <c r="C425" s="3">
        <v>149.0</v>
      </c>
      <c r="D425" s="7">
        <v>0.0</v>
      </c>
      <c r="E425" s="3">
        <f t="shared" si="428"/>
        <v>0</v>
      </c>
      <c r="F425" s="7">
        <v>0.0</v>
      </c>
      <c r="G425" s="3">
        <f t="shared" si="429"/>
        <v>0</v>
      </c>
      <c r="H425" s="7">
        <v>0.0</v>
      </c>
      <c r="I425" s="3">
        <f t="shared" si="430"/>
        <v>0</v>
      </c>
      <c r="J425" s="3">
        <f t="shared" ref="J425:K425" si="439">D425+F425+H425</f>
        <v>0</v>
      </c>
      <c r="K425" s="3">
        <f t="shared" si="439"/>
        <v>0</v>
      </c>
      <c r="L425" s="6"/>
    </row>
    <row r="426" ht="15.75" customHeight="1">
      <c r="A426" s="3" t="s">
        <v>21</v>
      </c>
      <c r="B426" s="3" t="s">
        <v>23</v>
      </c>
      <c r="C426" s="3">
        <v>149.0</v>
      </c>
      <c r="D426" s="7">
        <v>0.0</v>
      </c>
      <c r="E426" s="3">
        <f t="shared" si="428"/>
        <v>0</v>
      </c>
      <c r="F426" s="7">
        <v>0.0</v>
      </c>
      <c r="G426" s="3">
        <f t="shared" si="429"/>
        <v>0</v>
      </c>
      <c r="H426" s="7">
        <v>0.0</v>
      </c>
      <c r="I426" s="3">
        <f t="shared" si="430"/>
        <v>0</v>
      </c>
      <c r="J426" s="3">
        <f t="shared" ref="J426:K426" si="440">D426+F426+H426</f>
        <v>0</v>
      </c>
      <c r="K426" s="3">
        <f t="shared" si="440"/>
        <v>0</v>
      </c>
      <c r="L426" s="6"/>
    </row>
    <row r="427" ht="15.75" customHeight="1">
      <c r="A427" s="3" t="s">
        <v>21</v>
      </c>
      <c r="B427" s="3" t="s">
        <v>14</v>
      </c>
      <c r="C427" s="3">
        <v>149.0</v>
      </c>
      <c r="D427" s="7">
        <v>0.0</v>
      </c>
      <c r="E427" s="3">
        <f t="shared" si="428"/>
        <v>0</v>
      </c>
      <c r="F427" s="7">
        <v>0.0</v>
      </c>
      <c r="G427" s="3">
        <f t="shared" si="429"/>
        <v>0</v>
      </c>
      <c r="H427" s="7">
        <v>0.0</v>
      </c>
      <c r="I427" s="3">
        <f t="shared" si="430"/>
        <v>0</v>
      </c>
      <c r="J427" s="3">
        <f t="shared" ref="J427:K427" si="441">D427+F427+H427</f>
        <v>0</v>
      </c>
      <c r="K427" s="3">
        <f t="shared" si="441"/>
        <v>0</v>
      </c>
      <c r="L427" s="6"/>
    </row>
    <row r="428" ht="15.75" customHeight="1">
      <c r="A428" s="3" t="s">
        <v>21</v>
      </c>
      <c r="B428" s="3" t="s">
        <v>24</v>
      </c>
      <c r="C428" s="3">
        <v>149.0</v>
      </c>
      <c r="D428" s="7">
        <v>0.0</v>
      </c>
      <c r="E428" s="3">
        <f t="shared" si="428"/>
        <v>0</v>
      </c>
      <c r="F428" s="7">
        <v>0.0</v>
      </c>
      <c r="G428" s="3">
        <f t="shared" si="429"/>
        <v>0</v>
      </c>
      <c r="H428" s="7">
        <v>0.0</v>
      </c>
      <c r="I428" s="3">
        <f t="shared" si="430"/>
        <v>0</v>
      </c>
      <c r="J428" s="3">
        <f t="shared" ref="J428:K428" si="442">D428+F428+H428</f>
        <v>0</v>
      </c>
      <c r="K428" s="3">
        <f t="shared" si="442"/>
        <v>0</v>
      </c>
      <c r="L428" s="6"/>
    </row>
    <row r="429" ht="15.75" customHeight="1">
      <c r="A429" s="3" t="s">
        <v>21</v>
      </c>
      <c r="B429" s="3" t="s">
        <v>25</v>
      </c>
      <c r="C429" s="3">
        <v>149.0</v>
      </c>
      <c r="D429" s="7">
        <v>0.0</v>
      </c>
      <c r="E429" s="3">
        <f t="shared" si="428"/>
        <v>0</v>
      </c>
      <c r="F429" s="7">
        <v>0.0</v>
      </c>
      <c r="G429" s="3">
        <f t="shared" si="429"/>
        <v>0</v>
      </c>
      <c r="H429" s="7">
        <v>0.0</v>
      </c>
      <c r="I429" s="3">
        <f t="shared" si="430"/>
        <v>0</v>
      </c>
      <c r="J429" s="3">
        <f t="shared" ref="J429:K429" si="443">D429+F429+H429</f>
        <v>0</v>
      </c>
      <c r="K429" s="3">
        <f t="shared" si="443"/>
        <v>0</v>
      </c>
      <c r="L429" s="6"/>
    </row>
    <row r="430" ht="15.75" customHeight="1">
      <c r="A430" s="3" t="s">
        <v>21</v>
      </c>
      <c r="B430" s="3" t="s">
        <v>26</v>
      </c>
      <c r="C430" s="3">
        <v>149.0</v>
      </c>
      <c r="D430" s="7">
        <v>0.0</v>
      </c>
      <c r="E430" s="3">
        <f t="shared" si="428"/>
        <v>0</v>
      </c>
      <c r="F430" s="7">
        <v>0.0</v>
      </c>
      <c r="G430" s="3">
        <f t="shared" si="429"/>
        <v>0</v>
      </c>
      <c r="H430" s="7">
        <v>0.0</v>
      </c>
      <c r="I430" s="3">
        <f t="shared" si="430"/>
        <v>0</v>
      </c>
      <c r="J430" s="3">
        <f t="shared" ref="J430:K430" si="444">D430+F430+H430</f>
        <v>0</v>
      </c>
      <c r="K430" s="3">
        <f t="shared" si="444"/>
        <v>0</v>
      </c>
      <c r="L430" s="6"/>
    </row>
    <row r="431" ht="15.75" customHeight="1">
      <c r="A431" s="3" t="s">
        <v>21</v>
      </c>
      <c r="B431" s="3" t="s">
        <v>27</v>
      </c>
      <c r="C431" s="3">
        <v>149.0</v>
      </c>
      <c r="D431" s="7">
        <v>0.0</v>
      </c>
      <c r="E431" s="3">
        <f t="shared" si="428"/>
        <v>0</v>
      </c>
      <c r="F431" s="7">
        <v>0.0</v>
      </c>
      <c r="G431" s="3">
        <f t="shared" si="429"/>
        <v>0</v>
      </c>
      <c r="H431" s="7">
        <v>0.0</v>
      </c>
      <c r="I431" s="3">
        <f t="shared" si="430"/>
        <v>0</v>
      </c>
      <c r="J431" s="3">
        <f t="shared" ref="J431:K431" si="445">D431+F431+H431</f>
        <v>0</v>
      </c>
      <c r="K431" s="3">
        <f t="shared" si="445"/>
        <v>0</v>
      </c>
      <c r="L431" s="6"/>
    </row>
    <row r="432" ht="15.75" customHeight="1">
      <c r="A432" s="3" t="s">
        <v>21</v>
      </c>
      <c r="B432" s="3" t="s">
        <v>28</v>
      </c>
      <c r="C432" s="3">
        <v>149.0</v>
      </c>
      <c r="D432" s="7">
        <v>0.0</v>
      </c>
      <c r="E432" s="3">
        <f t="shared" si="428"/>
        <v>0</v>
      </c>
      <c r="F432" s="7">
        <v>0.0</v>
      </c>
      <c r="G432" s="3">
        <f t="shared" si="429"/>
        <v>0</v>
      </c>
      <c r="H432" s="7">
        <v>0.0</v>
      </c>
      <c r="I432" s="3">
        <f t="shared" si="430"/>
        <v>0</v>
      </c>
      <c r="J432" s="3">
        <f t="shared" ref="J432:K432" si="446">D432+F432+H432</f>
        <v>0</v>
      </c>
      <c r="K432" s="3">
        <f t="shared" si="446"/>
        <v>0</v>
      </c>
      <c r="L432" s="6"/>
    </row>
    <row r="433" ht="15.75" customHeight="1">
      <c r="A433" s="3" t="s">
        <v>21</v>
      </c>
      <c r="B433" s="3" t="s">
        <v>29</v>
      </c>
      <c r="C433" s="3">
        <v>149.0</v>
      </c>
      <c r="D433" s="7">
        <v>0.0</v>
      </c>
      <c r="E433" s="3">
        <f t="shared" si="428"/>
        <v>0</v>
      </c>
      <c r="F433" s="7">
        <v>0.0</v>
      </c>
      <c r="G433" s="3">
        <f t="shared" si="429"/>
        <v>0</v>
      </c>
      <c r="H433" s="7">
        <v>0.0</v>
      </c>
      <c r="I433" s="3">
        <f t="shared" si="430"/>
        <v>0</v>
      </c>
      <c r="J433" s="3">
        <f t="shared" ref="J433:K433" si="447">D433+F433+H433</f>
        <v>0</v>
      </c>
      <c r="K433" s="3">
        <f t="shared" si="447"/>
        <v>0</v>
      </c>
      <c r="L433" s="6"/>
    </row>
    <row r="434" ht="15.75" customHeight="1">
      <c r="A434" s="3" t="s">
        <v>21</v>
      </c>
      <c r="B434" s="3" t="s">
        <v>30</v>
      </c>
      <c r="C434" s="3">
        <v>149.0</v>
      </c>
      <c r="D434" s="7">
        <v>0.0</v>
      </c>
      <c r="E434" s="3">
        <f t="shared" si="428"/>
        <v>0</v>
      </c>
      <c r="F434" s="7">
        <v>0.0</v>
      </c>
      <c r="G434" s="3">
        <f t="shared" si="429"/>
        <v>0</v>
      </c>
      <c r="H434" s="7">
        <v>0.0</v>
      </c>
      <c r="I434" s="3">
        <f t="shared" si="430"/>
        <v>0</v>
      </c>
      <c r="J434" s="3">
        <f t="shared" ref="J434:K434" si="448">D434+F434+H434</f>
        <v>0</v>
      </c>
      <c r="K434" s="3">
        <f t="shared" si="448"/>
        <v>0</v>
      </c>
      <c r="L434" s="6"/>
    </row>
    <row r="435" ht="15.75" customHeight="1">
      <c r="A435" s="3" t="s">
        <v>21</v>
      </c>
      <c r="B435" s="3" t="s">
        <v>31</v>
      </c>
      <c r="C435" s="3">
        <v>149.0</v>
      </c>
      <c r="D435" s="7">
        <v>0.0</v>
      </c>
      <c r="E435" s="3">
        <f t="shared" si="428"/>
        <v>0</v>
      </c>
      <c r="F435" s="7">
        <v>0.0</v>
      </c>
      <c r="G435" s="3">
        <f t="shared" si="429"/>
        <v>0</v>
      </c>
      <c r="H435" s="7">
        <v>0.0</v>
      </c>
      <c r="I435" s="3">
        <f t="shared" si="430"/>
        <v>0</v>
      </c>
      <c r="J435" s="3">
        <f t="shared" ref="J435:K435" si="449">D435+F435+H435</f>
        <v>0</v>
      </c>
      <c r="K435" s="3">
        <f t="shared" si="449"/>
        <v>0</v>
      </c>
      <c r="L435" s="6"/>
    </row>
    <row r="436" ht="15.75" customHeight="1">
      <c r="A436" s="3" t="s">
        <v>21</v>
      </c>
      <c r="B436" s="3" t="s">
        <v>32</v>
      </c>
      <c r="C436" s="3">
        <v>149.0</v>
      </c>
      <c r="D436" s="7">
        <v>0.0</v>
      </c>
      <c r="E436" s="3">
        <f t="shared" si="428"/>
        <v>0</v>
      </c>
      <c r="F436" s="7">
        <v>0.0</v>
      </c>
      <c r="G436" s="3">
        <f t="shared" si="429"/>
        <v>0</v>
      </c>
      <c r="H436" s="7">
        <v>0.0</v>
      </c>
      <c r="I436" s="3">
        <f t="shared" si="430"/>
        <v>0</v>
      </c>
      <c r="J436" s="3">
        <f t="shared" ref="J436:K436" si="450">D436+F436+H436</f>
        <v>0</v>
      </c>
      <c r="K436" s="3">
        <f t="shared" si="450"/>
        <v>0</v>
      </c>
      <c r="L436" s="6"/>
    </row>
    <row r="437" ht="15.75" customHeight="1">
      <c r="A437" s="3" t="s">
        <v>33</v>
      </c>
      <c r="B437" s="3" t="s">
        <v>34</v>
      </c>
      <c r="C437" s="3">
        <v>159.0</v>
      </c>
      <c r="D437" s="7">
        <v>0.0</v>
      </c>
      <c r="E437" s="3">
        <f t="shared" si="428"/>
        <v>0</v>
      </c>
      <c r="F437" s="7">
        <v>0.0</v>
      </c>
      <c r="G437" s="3">
        <f t="shared" si="429"/>
        <v>0</v>
      </c>
      <c r="H437" s="7">
        <v>0.0</v>
      </c>
      <c r="I437" s="3">
        <f t="shared" si="430"/>
        <v>0</v>
      </c>
      <c r="J437" s="3">
        <f t="shared" ref="J437:K437" si="451">D437+F437+H437</f>
        <v>0</v>
      </c>
      <c r="K437" s="3">
        <f t="shared" si="451"/>
        <v>0</v>
      </c>
      <c r="L437" s="6"/>
    </row>
    <row r="438" ht="15.75" customHeight="1">
      <c r="A438" s="3" t="s">
        <v>33</v>
      </c>
      <c r="B438" s="3" t="s">
        <v>35</v>
      </c>
      <c r="C438" s="3">
        <v>159.0</v>
      </c>
      <c r="D438" s="7">
        <v>0.0</v>
      </c>
      <c r="E438" s="3">
        <f t="shared" si="428"/>
        <v>0</v>
      </c>
      <c r="F438" s="7">
        <v>0.0</v>
      </c>
      <c r="G438" s="3">
        <f t="shared" si="429"/>
        <v>0</v>
      </c>
      <c r="H438" s="7">
        <v>0.0</v>
      </c>
      <c r="I438" s="3">
        <f t="shared" si="430"/>
        <v>0</v>
      </c>
      <c r="J438" s="3">
        <f t="shared" ref="J438:K438" si="452">D438+F438+H438</f>
        <v>0</v>
      </c>
      <c r="K438" s="3">
        <f t="shared" si="452"/>
        <v>0</v>
      </c>
      <c r="L438" s="6"/>
    </row>
    <row r="439" ht="15.75" customHeight="1">
      <c r="A439" s="3" t="s">
        <v>33</v>
      </c>
      <c r="B439" s="3" t="s">
        <v>36</v>
      </c>
      <c r="C439" s="3">
        <v>159.0</v>
      </c>
      <c r="D439" s="7">
        <v>0.0</v>
      </c>
      <c r="E439" s="3">
        <f t="shared" si="428"/>
        <v>0</v>
      </c>
      <c r="F439" s="7">
        <v>0.0</v>
      </c>
      <c r="G439" s="3">
        <f t="shared" si="429"/>
        <v>0</v>
      </c>
      <c r="H439" s="7">
        <v>0.0</v>
      </c>
      <c r="I439" s="3">
        <f t="shared" si="430"/>
        <v>0</v>
      </c>
      <c r="J439" s="3">
        <f t="shared" ref="J439:K439" si="453">D439+F439+H439</f>
        <v>0</v>
      </c>
      <c r="K439" s="3">
        <f t="shared" si="453"/>
        <v>0</v>
      </c>
      <c r="L439" s="6"/>
    </row>
    <row r="440" ht="15.75" customHeight="1">
      <c r="A440" s="3" t="s">
        <v>33</v>
      </c>
      <c r="B440" s="3" t="s">
        <v>37</v>
      </c>
      <c r="C440" s="3">
        <v>159.0</v>
      </c>
      <c r="D440" s="7">
        <v>0.0</v>
      </c>
      <c r="E440" s="3">
        <f t="shared" si="428"/>
        <v>0</v>
      </c>
      <c r="F440" s="7">
        <v>0.0</v>
      </c>
      <c r="G440" s="3">
        <f t="shared" si="429"/>
        <v>0</v>
      </c>
      <c r="H440" s="7">
        <v>0.0</v>
      </c>
      <c r="I440" s="3">
        <f t="shared" si="430"/>
        <v>0</v>
      </c>
      <c r="J440" s="3">
        <f t="shared" ref="J440:K440" si="454">D440+F440+H440</f>
        <v>0</v>
      </c>
      <c r="K440" s="3">
        <f t="shared" si="454"/>
        <v>0</v>
      </c>
      <c r="L440" s="6"/>
    </row>
    <row r="441" ht="15.75" customHeight="1">
      <c r="A441" s="3" t="s">
        <v>38</v>
      </c>
      <c r="B441" s="3" t="s">
        <v>31</v>
      </c>
      <c r="C441" s="3">
        <v>99.0</v>
      </c>
      <c r="D441" s="7">
        <v>0.0</v>
      </c>
      <c r="E441" s="3">
        <f t="shared" si="428"/>
        <v>0</v>
      </c>
      <c r="F441" s="7">
        <v>0.0</v>
      </c>
      <c r="G441" s="3">
        <f t="shared" si="429"/>
        <v>0</v>
      </c>
      <c r="H441" s="7">
        <v>0.0</v>
      </c>
      <c r="I441" s="3">
        <f t="shared" si="430"/>
        <v>0</v>
      </c>
      <c r="J441" s="3">
        <f t="shared" ref="J441:K441" si="455">D441+F441+H441</f>
        <v>0</v>
      </c>
      <c r="K441" s="3">
        <f t="shared" si="455"/>
        <v>0</v>
      </c>
      <c r="L441" s="6"/>
    </row>
    <row r="442" ht="15.75" customHeight="1">
      <c r="A442" s="3" t="s">
        <v>38</v>
      </c>
      <c r="B442" s="3" t="s">
        <v>24</v>
      </c>
      <c r="C442" s="3">
        <v>99.0</v>
      </c>
      <c r="D442" s="7">
        <v>0.0</v>
      </c>
      <c r="E442" s="3">
        <f t="shared" si="428"/>
        <v>0</v>
      </c>
      <c r="F442" s="7">
        <v>0.0</v>
      </c>
      <c r="G442" s="3">
        <f t="shared" si="429"/>
        <v>0</v>
      </c>
      <c r="H442" s="7">
        <v>0.0</v>
      </c>
      <c r="I442" s="3">
        <f t="shared" si="430"/>
        <v>0</v>
      </c>
      <c r="J442" s="3">
        <f t="shared" ref="J442:K442" si="456">D442+F442+H442</f>
        <v>0</v>
      </c>
      <c r="K442" s="3">
        <f t="shared" si="456"/>
        <v>0</v>
      </c>
      <c r="L442" s="6"/>
    </row>
    <row r="443" ht="15.75" customHeight="1">
      <c r="A443" s="3" t="s">
        <v>38</v>
      </c>
      <c r="B443" s="3" t="s">
        <v>39</v>
      </c>
      <c r="C443" s="3">
        <v>99.0</v>
      </c>
      <c r="D443" s="7">
        <v>0.0</v>
      </c>
      <c r="E443" s="3">
        <f t="shared" si="428"/>
        <v>0</v>
      </c>
      <c r="F443" s="7">
        <v>0.0</v>
      </c>
      <c r="G443" s="3">
        <f t="shared" si="429"/>
        <v>0</v>
      </c>
      <c r="H443" s="7">
        <v>0.0</v>
      </c>
      <c r="I443" s="3">
        <f t="shared" si="430"/>
        <v>0</v>
      </c>
      <c r="J443" s="3">
        <f t="shared" ref="J443:K443" si="457">D443+F443+H443</f>
        <v>0</v>
      </c>
      <c r="K443" s="3">
        <f t="shared" si="457"/>
        <v>0</v>
      </c>
      <c r="L443" s="6"/>
    </row>
    <row r="444" ht="15.75" customHeight="1">
      <c r="A444" s="3" t="s">
        <v>38</v>
      </c>
      <c r="B444" s="3" t="s">
        <v>40</v>
      </c>
      <c r="C444" s="3">
        <v>99.0</v>
      </c>
      <c r="D444" s="7">
        <v>0.0</v>
      </c>
      <c r="E444" s="3">
        <f t="shared" si="428"/>
        <v>0</v>
      </c>
      <c r="F444" s="7">
        <v>0.0</v>
      </c>
      <c r="G444" s="3">
        <f t="shared" si="429"/>
        <v>0</v>
      </c>
      <c r="H444" s="7">
        <v>0.0</v>
      </c>
      <c r="I444" s="3">
        <f t="shared" si="430"/>
        <v>0</v>
      </c>
      <c r="J444" s="3">
        <f t="shared" ref="J444:K444" si="458">D444+F444+H444</f>
        <v>0</v>
      </c>
      <c r="K444" s="3">
        <f t="shared" si="458"/>
        <v>0</v>
      </c>
      <c r="L444" s="6"/>
    </row>
    <row r="445" ht="15.75" customHeight="1">
      <c r="A445" s="3" t="s">
        <v>38</v>
      </c>
      <c r="B445" s="3" t="s">
        <v>41</v>
      </c>
      <c r="C445" s="3">
        <v>99.0</v>
      </c>
      <c r="D445" s="7">
        <v>0.0</v>
      </c>
      <c r="E445" s="3">
        <f t="shared" si="428"/>
        <v>0</v>
      </c>
      <c r="F445" s="7">
        <v>0.0</v>
      </c>
      <c r="G445" s="3">
        <f t="shared" si="429"/>
        <v>0</v>
      </c>
      <c r="H445" s="7">
        <v>0.0</v>
      </c>
      <c r="I445" s="3">
        <f t="shared" si="430"/>
        <v>0</v>
      </c>
      <c r="J445" s="3">
        <f t="shared" ref="J445:K445" si="459">D445+F445+H445</f>
        <v>0</v>
      </c>
      <c r="K445" s="3">
        <f t="shared" si="459"/>
        <v>0</v>
      </c>
      <c r="L445" s="6"/>
    </row>
    <row r="446" ht="15.75" customHeight="1">
      <c r="A446" s="3" t="s">
        <v>42</v>
      </c>
      <c r="B446" s="3" t="s">
        <v>43</v>
      </c>
      <c r="C446" s="3">
        <v>149.0</v>
      </c>
      <c r="D446" s="7">
        <v>0.0</v>
      </c>
      <c r="E446" s="3">
        <f t="shared" si="428"/>
        <v>0</v>
      </c>
      <c r="F446" s="7">
        <v>0.0</v>
      </c>
      <c r="G446" s="3">
        <f t="shared" si="429"/>
        <v>0</v>
      </c>
      <c r="H446" s="7">
        <v>0.0</v>
      </c>
      <c r="I446" s="3">
        <f t="shared" si="430"/>
        <v>0</v>
      </c>
      <c r="J446" s="3">
        <f t="shared" ref="J446:K446" si="460">D446+F446+H446</f>
        <v>0</v>
      </c>
      <c r="K446" s="3">
        <f t="shared" si="460"/>
        <v>0</v>
      </c>
      <c r="L446" s="6"/>
    </row>
    <row r="447" ht="15.75" customHeight="1">
      <c r="A447" s="3" t="s">
        <v>42</v>
      </c>
      <c r="B447" s="3" t="s">
        <v>44</v>
      </c>
      <c r="C447" s="3">
        <v>149.0</v>
      </c>
      <c r="D447" s="7">
        <v>0.0</v>
      </c>
      <c r="E447" s="3">
        <f t="shared" si="428"/>
        <v>0</v>
      </c>
      <c r="F447" s="7">
        <v>0.0</v>
      </c>
      <c r="G447" s="3">
        <f t="shared" si="429"/>
        <v>0</v>
      </c>
      <c r="H447" s="7">
        <v>0.0</v>
      </c>
      <c r="I447" s="3">
        <f t="shared" si="430"/>
        <v>0</v>
      </c>
      <c r="J447" s="3">
        <f t="shared" ref="J447:K447" si="461">D447+F447+H447</f>
        <v>0</v>
      </c>
      <c r="K447" s="3">
        <f t="shared" si="461"/>
        <v>0</v>
      </c>
      <c r="L447" s="6"/>
    </row>
    <row r="448" ht="15.75" customHeight="1">
      <c r="A448" s="3" t="s">
        <v>42</v>
      </c>
      <c r="B448" s="3" t="s">
        <v>45</v>
      </c>
      <c r="C448" s="3">
        <v>149.0</v>
      </c>
      <c r="D448" s="7">
        <v>0.0</v>
      </c>
      <c r="E448" s="3">
        <f t="shared" si="428"/>
        <v>0</v>
      </c>
      <c r="F448" s="7">
        <v>0.0</v>
      </c>
      <c r="G448" s="3">
        <f t="shared" si="429"/>
        <v>0</v>
      </c>
      <c r="H448" s="7">
        <v>0.0</v>
      </c>
      <c r="I448" s="3">
        <f t="shared" si="430"/>
        <v>0</v>
      </c>
      <c r="J448" s="3">
        <f t="shared" ref="J448:K448" si="462">D448+F448+H448</f>
        <v>0</v>
      </c>
      <c r="K448" s="3">
        <f t="shared" si="462"/>
        <v>0</v>
      </c>
      <c r="L448" s="6"/>
    </row>
    <row r="449" ht="15.75" customHeight="1">
      <c r="A449" s="3" t="s">
        <v>42</v>
      </c>
      <c r="B449" s="3" t="s">
        <v>46</v>
      </c>
      <c r="C449" s="3">
        <v>149.0</v>
      </c>
      <c r="D449" s="7">
        <v>0.0</v>
      </c>
      <c r="E449" s="3">
        <f t="shared" si="428"/>
        <v>0</v>
      </c>
      <c r="F449" s="7">
        <v>0.0</v>
      </c>
      <c r="G449" s="3">
        <f t="shared" si="429"/>
        <v>0</v>
      </c>
      <c r="H449" s="7">
        <v>0.0</v>
      </c>
      <c r="I449" s="3">
        <f t="shared" si="430"/>
        <v>0</v>
      </c>
      <c r="J449" s="3">
        <f t="shared" ref="J449:K449" si="463">D449+F449+H449</f>
        <v>0</v>
      </c>
      <c r="K449" s="3">
        <f t="shared" si="463"/>
        <v>0</v>
      </c>
      <c r="L449" s="6"/>
    </row>
    <row r="450" ht="15.75" customHeight="1">
      <c r="A450" s="3" t="s">
        <v>47</v>
      </c>
      <c r="B450" s="3" t="s">
        <v>48</v>
      </c>
      <c r="C450" s="3">
        <v>25.0</v>
      </c>
      <c r="D450" s="7">
        <v>0.0</v>
      </c>
      <c r="E450" s="3">
        <f t="shared" si="428"/>
        <v>0</v>
      </c>
      <c r="F450" s="7">
        <v>0.0</v>
      </c>
      <c r="G450" s="3">
        <f t="shared" si="429"/>
        <v>0</v>
      </c>
      <c r="H450" s="7">
        <v>0.0</v>
      </c>
      <c r="I450" s="3">
        <f t="shared" si="430"/>
        <v>0</v>
      </c>
      <c r="J450" s="3">
        <f t="shared" ref="J450:K450" si="464">D450+F450+H450</f>
        <v>0</v>
      </c>
      <c r="K450" s="3">
        <f t="shared" si="464"/>
        <v>0</v>
      </c>
      <c r="L450" s="6"/>
    </row>
    <row r="451" ht="15.75" customHeight="1">
      <c r="A451" s="3" t="s">
        <v>47</v>
      </c>
      <c r="B451" s="3" t="s">
        <v>49</v>
      </c>
      <c r="C451" s="3">
        <v>20.0</v>
      </c>
      <c r="D451" s="7">
        <v>0.0</v>
      </c>
      <c r="E451" s="3">
        <f t="shared" si="428"/>
        <v>0</v>
      </c>
      <c r="F451" s="7">
        <v>0.0</v>
      </c>
      <c r="G451" s="3">
        <f t="shared" si="429"/>
        <v>0</v>
      </c>
      <c r="H451" s="7">
        <v>0.0</v>
      </c>
      <c r="I451" s="3">
        <f t="shared" si="430"/>
        <v>0</v>
      </c>
      <c r="J451" s="3">
        <f t="shared" ref="J451:K451" si="465">D451+F451+H451</f>
        <v>0</v>
      </c>
      <c r="K451" s="3">
        <f t="shared" si="465"/>
        <v>0</v>
      </c>
      <c r="L451" s="6"/>
    </row>
    <row r="452" ht="15.75" customHeight="1">
      <c r="A452" s="3" t="s">
        <v>47</v>
      </c>
      <c r="B452" s="3" t="s">
        <v>50</v>
      </c>
      <c r="C452" s="3">
        <v>20.0</v>
      </c>
      <c r="D452" s="7">
        <v>0.0</v>
      </c>
      <c r="E452" s="3">
        <f t="shared" si="428"/>
        <v>0</v>
      </c>
      <c r="F452" s="7">
        <v>0.0</v>
      </c>
      <c r="G452" s="3">
        <f t="shared" si="429"/>
        <v>0</v>
      </c>
      <c r="H452" s="7">
        <v>0.0</v>
      </c>
      <c r="I452" s="3">
        <f t="shared" si="430"/>
        <v>0</v>
      </c>
      <c r="J452" s="3">
        <f t="shared" ref="J452:K452" si="466">D452+F452+H452</f>
        <v>0</v>
      </c>
      <c r="K452" s="3">
        <f t="shared" si="466"/>
        <v>0</v>
      </c>
      <c r="L452" s="6"/>
    </row>
    <row r="453" ht="15.75" customHeight="1">
      <c r="A453" s="3" t="s">
        <v>47</v>
      </c>
      <c r="B453" s="3" t="s">
        <v>51</v>
      </c>
      <c r="C453" s="3">
        <v>20.0</v>
      </c>
      <c r="D453" s="7">
        <v>0.0</v>
      </c>
      <c r="E453" s="3">
        <f t="shared" si="428"/>
        <v>0</v>
      </c>
      <c r="F453" s="7">
        <v>0.0</v>
      </c>
      <c r="G453" s="3">
        <f t="shared" si="429"/>
        <v>0</v>
      </c>
      <c r="H453" s="7">
        <v>0.0</v>
      </c>
      <c r="I453" s="3">
        <f t="shared" si="430"/>
        <v>0</v>
      </c>
      <c r="J453" s="3">
        <f t="shared" ref="J453:K453" si="467">D453+F453+H453</f>
        <v>0</v>
      </c>
      <c r="K453" s="3">
        <f t="shared" si="467"/>
        <v>0</v>
      </c>
      <c r="L453" s="6"/>
    </row>
    <row r="454" ht="15.75" customHeight="1">
      <c r="A454" s="3" t="s">
        <v>47</v>
      </c>
      <c r="B454" s="3" t="s">
        <v>52</v>
      </c>
      <c r="C454" s="3">
        <v>25.0</v>
      </c>
      <c r="D454" s="7">
        <v>0.0</v>
      </c>
      <c r="E454" s="3">
        <f t="shared" si="428"/>
        <v>0</v>
      </c>
      <c r="F454" s="7">
        <v>0.0</v>
      </c>
      <c r="G454" s="3">
        <f t="shared" si="429"/>
        <v>0</v>
      </c>
      <c r="H454" s="7">
        <v>0.0</v>
      </c>
      <c r="I454" s="3">
        <f t="shared" si="430"/>
        <v>0</v>
      </c>
      <c r="J454" s="3">
        <f t="shared" ref="J454:K454" si="468">D454+F454+H454</f>
        <v>0</v>
      </c>
      <c r="K454" s="3">
        <f t="shared" si="468"/>
        <v>0</v>
      </c>
      <c r="L454" s="6"/>
    </row>
    <row r="455" ht="15.75" customHeight="1">
      <c r="A455" s="3" t="s">
        <v>47</v>
      </c>
      <c r="B455" s="3" t="s">
        <v>53</v>
      </c>
      <c r="C455" s="3">
        <v>20.0</v>
      </c>
      <c r="D455" s="7">
        <v>0.0</v>
      </c>
      <c r="E455" s="3">
        <f t="shared" si="428"/>
        <v>0</v>
      </c>
      <c r="F455" s="7">
        <v>0.0</v>
      </c>
      <c r="G455" s="3">
        <f t="shared" si="429"/>
        <v>0</v>
      </c>
      <c r="H455" s="7">
        <v>0.0</v>
      </c>
      <c r="I455" s="3">
        <f t="shared" si="430"/>
        <v>0</v>
      </c>
      <c r="J455" s="3">
        <f t="shared" ref="J455:K455" si="469">D455+F455+H455</f>
        <v>0</v>
      </c>
      <c r="K455" s="3">
        <f t="shared" si="469"/>
        <v>0</v>
      </c>
      <c r="L455" s="6"/>
    </row>
    <row r="456" ht="15.75" customHeight="1">
      <c r="A456" s="3" t="s">
        <v>54</v>
      </c>
      <c r="B456" s="3" t="s">
        <v>55</v>
      </c>
      <c r="C456" s="3">
        <v>149.0</v>
      </c>
      <c r="D456" s="7">
        <v>0.0</v>
      </c>
      <c r="E456" s="3">
        <f t="shared" si="428"/>
        <v>0</v>
      </c>
      <c r="F456" s="7">
        <v>0.0</v>
      </c>
      <c r="G456" s="3">
        <f t="shared" si="429"/>
        <v>0</v>
      </c>
      <c r="H456" s="7">
        <v>0.0</v>
      </c>
      <c r="I456" s="3">
        <f t="shared" si="430"/>
        <v>0</v>
      </c>
      <c r="J456" s="3">
        <f t="shared" ref="J456:K456" si="470">D456+F456+H456</f>
        <v>0</v>
      </c>
      <c r="K456" s="3">
        <f t="shared" si="470"/>
        <v>0</v>
      </c>
      <c r="L456" s="6"/>
    </row>
    <row r="457" ht="15.75" customHeight="1">
      <c r="A457" s="3" t="s">
        <v>54</v>
      </c>
      <c r="B457" s="3" t="s">
        <v>56</v>
      </c>
      <c r="C457" s="3">
        <v>149.0</v>
      </c>
      <c r="D457" s="7">
        <v>0.0</v>
      </c>
      <c r="E457" s="3">
        <f t="shared" si="428"/>
        <v>0</v>
      </c>
      <c r="F457" s="7">
        <v>0.0</v>
      </c>
      <c r="G457" s="3">
        <f t="shared" si="429"/>
        <v>0</v>
      </c>
      <c r="H457" s="7">
        <v>0.0</v>
      </c>
      <c r="I457" s="3">
        <f t="shared" si="430"/>
        <v>0</v>
      </c>
      <c r="J457" s="3">
        <f t="shared" ref="J457:K457" si="471">D457+F457+H457</f>
        <v>0</v>
      </c>
      <c r="K457" s="3">
        <f t="shared" si="471"/>
        <v>0</v>
      </c>
      <c r="L457" s="6"/>
    </row>
    <row r="458" ht="15.75" customHeight="1">
      <c r="A458" s="3" t="s">
        <v>54</v>
      </c>
      <c r="B458" s="3" t="s">
        <v>57</v>
      </c>
      <c r="C458" s="3">
        <v>149.0</v>
      </c>
      <c r="D458" s="7">
        <v>0.0</v>
      </c>
      <c r="E458" s="3">
        <f t="shared" si="428"/>
        <v>0</v>
      </c>
      <c r="F458" s="7">
        <v>0.0</v>
      </c>
      <c r="G458" s="3">
        <f t="shared" si="429"/>
        <v>0</v>
      </c>
      <c r="H458" s="7">
        <v>0.0</v>
      </c>
      <c r="I458" s="3">
        <f t="shared" si="430"/>
        <v>0</v>
      </c>
      <c r="J458" s="3">
        <f t="shared" ref="J458:K458" si="472">D458+F458+H458</f>
        <v>0</v>
      </c>
      <c r="K458" s="3">
        <f t="shared" si="472"/>
        <v>0</v>
      </c>
      <c r="L458" s="6"/>
    </row>
    <row r="459" ht="15.75" customHeight="1">
      <c r="A459" s="8" t="s">
        <v>58</v>
      </c>
      <c r="B459" s="9"/>
      <c r="C459" s="9"/>
      <c r="D459" s="9"/>
      <c r="E459" s="8">
        <f>SUM(E416:E458)</f>
        <v>0</v>
      </c>
      <c r="F459" s="9"/>
      <c r="G459" s="8">
        <f>SUM(G416:G458)</f>
        <v>0</v>
      </c>
      <c r="H459" s="9"/>
      <c r="I459" s="8">
        <f t="shared" ref="I459:K459" si="473">SUM(I416:I458)</f>
        <v>0</v>
      </c>
      <c r="J459" s="8">
        <f t="shared" si="473"/>
        <v>0</v>
      </c>
      <c r="K459" s="8">
        <f t="shared" si="473"/>
        <v>0</v>
      </c>
      <c r="L459" s="12">
        <v>46010.0</v>
      </c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1" t="s">
        <v>0</v>
      </c>
      <c r="B461" s="1" t="s">
        <v>1</v>
      </c>
      <c r="C461" s="1" t="s">
        <v>2</v>
      </c>
      <c r="D461" s="2" t="s">
        <v>3</v>
      </c>
      <c r="E461" s="1" t="s">
        <v>4</v>
      </c>
      <c r="F461" s="2" t="s">
        <v>5</v>
      </c>
      <c r="G461" s="1" t="s">
        <v>6</v>
      </c>
      <c r="H461" s="2" t="s">
        <v>7</v>
      </c>
      <c r="I461" s="1" t="s">
        <v>8</v>
      </c>
      <c r="J461" s="1" t="s">
        <v>9</v>
      </c>
      <c r="K461" s="1" t="s">
        <v>10</v>
      </c>
      <c r="L461" s="3" t="s">
        <v>11</v>
      </c>
    </row>
    <row r="462" ht="15.75" customHeight="1">
      <c r="A462" s="3" t="s">
        <v>12</v>
      </c>
      <c r="B462" s="3" t="s">
        <v>13</v>
      </c>
      <c r="C462" s="3">
        <v>189.0</v>
      </c>
      <c r="D462" s="7">
        <v>0.0</v>
      </c>
      <c r="E462" s="3">
        <f t="shared" ref="E462:E504" si="475">C462*D462</f>
        <v>0</v>
      </c>
      <c r="F462" s="7">
        <v>0.0</v>
      </c>
      <c r="G462" s="4">
        <f t="shared" ref="G462:G504" si="476">C462*F462</f>
        <v>0</v>
      </c>
      <c r="H462" s="7">
        <v>0.0</v>
      </c>
      <c r="I462" s="3">
        <f t="shared" ref="I462:I504" si="477">C462*H462</f>
        <v>0</v>
      </c>
      <c r="J462" s="3">
        <f t="shared" ref="J462:K462" si="474">D462+F462+H462</f>
        <v>0</v>
      </c>
      <c r="K462" s="3">
        <f t="shared" si="474"/>
        <v>0</v>
      </c>
      <c r="L462" s="6"/>
    </row>
    <row r="463" ht="15.75" customHeight="1">
      <c r="A463" s="3" t="s">
        <v>12</v>
      </c>
      <c r="B463" s="3" t="s">
        <v>14</v>
      </c>
      <c r="C463" s="3">
        <v>189.0</v>
      </c>
      <c r="D463" s="7">
        <v>0.0</v>
      </c>
      <c r="E463" s="3">
        <f t="shared" si="475"/>
        <v>0</v>
      </c>
      <c r="F463" s="7">
        <v>0.0</v>
      </c>
      <c r="G463" s="3">
        <f t="shared" si="476"/>
        <v>0</v>
      </c>
      <c r="H463" s="7">
        <v>0.0</v>
      </c>
      <c r="I463" s="3">
        <f t="shared" si="477"/>
        <v>0</v>
      </c>
      <c r="J463" s="3">
        <f t="shared" ref="J463:K463" si="478">D463+F463+H463</f>
        <v>0</v>
      </c>
      <c r="K463" s="3">
        <f t="shared" si="478"/>
        <v>0</v>
      </c>
      <c r="L463" s="6"/>
    </row>
    <row r="464" ht="15.75" customHeight="1">
      <c r="A464" s="3" t="s">
        <v>12</v>
      </c>
      <c r="B464" s="3" t="s">
        <v>15</v>
      </c>
      <c r="C464" s="3">
        <v>189.0</v>
      </c>
      <c r="D464" s="7">
        <v>0.0</v>
      </c>
      <c r="E464" s="3">
        <f t="shared" si="475"/>
        <v>0</v>
      </c>
      <c r="F464" s="7">
        <v>0.0</v>
      </c>
      <c r="G464" s="3">
        <f t="shared" si="476"/>
        <v>0</v>
      </c>
      <c r="H464" s="7">
        <v>0.0</v>
      </c>
      <c r="I464" s="3">
        <f t="shared" si="477"/>
        <v>0</v>
      </c>
      <c r="J464" s="3">
        <f t="shared" ref="J464:K464" si="479">D464+F464+H464</f>
        <v>0</v>
      </c>
      <c r="K464" s="3">
        <f t="shared" si="479"/>
        <v>0</v>
      </c>
      <c r="L464" s="6"/>
    </row>
    <row r="465" ht="15.75" customHeight="1">
      <c r="A465" s="3" t="s">
        <v>12</v>
      </c>
      <c r="B465" s="3" t="s">
        <v>16</v>
      </c>
      <c r="C465" s="3">
        <v>189.0</v>
      </c>
      <c r="D465" s="7">
        <v>0.0</v>
      </c>
      <c r="E465" s="3">
        <f t="shared" si="475"/>
        <v>0</v>
      </c>
      <c r="F465" s="7">
        <v>0.0</v>
      </c>
      <c r="G465" s="3">
        <f t="shared" si="476"/>
        <v>0</v>
      </c>
      <c r="H465" s="7">
        <v>0.0</v>
      </c>
      <c r="I465" s="3">
        <f t="shared" si="477"/>
        <v>0</v>
      </c>
      <c r="J465" s="3">
        <f t="shared" ref="J465:K465" si="480">D465+F465+H465</f>
        <v>0</v>
      </c>
      <c r="K465" s="3">
        <f t="shared" si="480"/>
        <v>0</v>
      </c>
      <c r="L465" s="6"/>
    </row>
    <row r="466" ht="15.75" customHeight="1">
      <c r="A466" s="3" t="s">
        <v>12</v>
      </c>
      <c r="B466" s="3" t="s">
        <v>17</v>
      </c>
      <c r="C466" s="3">
        <v>189.0</v>
      </c>
      <c r="D466" s="7">
        <v>0.0</v>
      </c>
      <c r="E466" s="3">
        <f t="shared" si="475"/>
        <v>0</v>
      </c>
      <c r="F466" s="7">
        <v>0.0</v>
      </c>
      <c r="G466" s="3">
        <f t="shared" si="476"/>
        <v>0</v>
      </c>
      <c r="H466" s="7">
        <v>0.0</v>
      </c>
      <c r="I466" s="3">
        <f t="shared" si="477"/>
        <v>0</v>
      </c>
      <c r="J466" s="3">
        <f t="shared" ref="J466:K466" si="481">D466+F466+H466</f>
        <v>0</v>
      </c>
      <c r="K466" s="3">
        <f t="shared" si="481"/>
        <v>0</v>
      </c>
      <c r="L466" s="6"/>
    </row>
    <row r="467" ht="15.75" customHeight="1">
      <c r="A467" s="3" t="s">
        <v>12</v>
      </c>
      <c r="B467" s="3" t="s">
        <v>18</v>
      </c>
      <c r="C467" s="3">
        <v>189.0</v>
      </c>
      <c r="D467" s="7">
        <v>0.0</v>
      </c>
      <c r="E467" s="3">
        <f t="shared" si="475"/>
        <v>0</v>
      </c>
      <c r="F467" s="7">
        <v>0.0</v>
      </c>
      <c r="G467" s="3">
        <f t="shared" si="476"/>
        <v>0</v>
      </c>
      <c r="H467" s="7">
        <v>0.0</v>
      </c>
      <c r="I467" s="3">
        <f t="shared" si="477"/>
        <v>0</v>
      </c>
      <c r="J467" s="3">
        <f t="shared" ref="J467:K467" si="482">D467+F467+H467</f>
        <v>0</v>
      </c>
      <c r="K467" s="3">
        <f t="shared" si="482"/>
        <v>0</v>
      </c>
      <c r="L467" s="6"/>
    </row>
    <row r="468" ht="15.75" customHeight="1">
      <c r="A468" s="3" t="s">
        <v>12</v>
      </c>
      <c r="B468" s="3" t="s">
        <v>19</v>
      </c>
      <c r="C468" s="3">
        <v>189.0</v>
      </c>
      <c r="D468" s="7">
        <v>0.0</v>
      </c>
      <c r="E468" s="3">
        <f t="shared" si="475"/>
        <v>0</v>
      </c>
      <c r="F468" s="7">
        <v>0.0</v>
      </c>
      <c r="G468" s="3">
        <f t="shared" si="476"/>
        <v>0</v>
      </c>
      <c r="H468" s="7">
        <v>0.0</v>
      </c>
      <c r="I468" s="3">
        <f t="shared" si="477"/>
        <v>0</v>
      </c>
      <c r="J468" s="3">
        <f t="shared" ref="J468:K468" si="483">D468+F468+H468</f>
        <v>0</v>
      </c>
      <c r="K468" s="3">
        <f t="shared" si="483"/>
        <v>0</v>
      </c>
      <c r="L468" s="6"/>
    </row>
    <row r="469" ht="15.75" customHeight="1">
      <c r="A469" s="3" t="s">
        <v>12</v>
      </c>
      <c r="B469" s="3" t="s">
        <v>20</v>
      </c>
      <c r="C469" s="3">
        <v>189.0</v>
      </c>
      <c r="D469" s="7">
        <v>0.0</v>
      </c>
      <c r="E469" s="3">
        <f t="shared" si="475"/>
        <v>0</v>
      </c>
      <c r="F469" s="7">
        <v>0.0</v>
      </c>
      <c r="G469" s="3">
        <f t="shared" si="476"/>
        <v>0</v>
      </c>
      <c r="H469" s="7">
        <v>0.0</v>
      </c>
      <c r="I469" s="3">
        <f t="shared" si="477"/>
        <v>0</v>
      </c>
      <c r="J469" s="3">
        <f t="shared" ref="J469:K469" si="484">D469+F469+H469</f>
        <v>0</v>
      </c>
      <c r="K469" s="3">
        <f t="shared" si="484"/>
        <v>0</v>
      </c>
      <c r="L469" s="6"/>
    </row>
    <row r="470" ht="15.75" customHeight="1">
      <c r="A470" s="3" t="s">
        <v>21</v>
      </c>
      <c r="B470" s="3" t="s">
        <v>20</v>
      </c>
      <c r="C470" s="3">
        <v>149.0</v>
      </c>
      <c r="D470" s="7">
        <v>0.0</v>
      </c>
      <c r="E470" s="3">
        <f t="shared" si="475"/>
        <v>0</v>
      </c>
      <c r="F470" s="7">
        <v>0.0</v>
      </c>
      <c r="G470" s="3">
        <f t="shared" si="476"/>
        <v>0</v>
      </c>
      <c r="H470" s="7">
        <v>0.0</v>
      </c>
      <c r="I470" s="3">
        <f t="shared" si="477"/>
        <v>0</v>
      </c>
      <c r="J470" s="3">
        <f t="shared" ref="J470:K470" si="485">D470+F470+H470</f>
        <v>0</v>
      </c>
      <c r="K470" s="3">
        <f t="shared" si="485"/>
        <v>0</v>
      </c>
      <c r="L470" s="6"/>
    </row>
    <row r="471" ht="15.75" customHeight="1">
      <c r="A471" s="3" t="s">
        <v>21</v>
      </c>
      <c r="B471" s="3" t="s">
        <v>22</v>
      </c>
      <c r="C471" s="3">
        <v>149.0</v>
      </c>
      <c r="D471" s="7">
        <v>0.0</v>
      </c>
      <c r="E471" s="3">
        <f t="shared" si="475"/>
        <v>0</v>
      </c>
      <c r="F471" s="7">
        <v>0.0</v>
      </c>
      <c r="G471" s="3">
        <f t="shared" si="476"/>
        <v>0</v>
      </c>
      <c r="H471" s="7">
        <v>0.0</v>
      </c>
      <c r="I471" s="3">
        <f t="shared" si="477"/>
        <v>0</v>
      </c>
      <c r="J471" s="3">
        <f t="shared" ref="J471:K471" si="486">D471+F471+H471</f>
        <v>0</v>
      </c>
      <c r="K471" s="3">
        <f t="shared" si="486"/>
        <v>0</v>
      </c>
      <c r="L471" s="6"/>
    </row>
    <row r="472" ht="15.75" customHeight="1">
      <c r="A472" s="3" t="s">
        <v>21</v>
      </c>
      <c r="B472" s="3" t="s">
        <v>23</v>
      </c>
      <c r="C472" s="3">
        <v>149.0</v>
      </c>
      <c r="D472" s="7">
        <v>0.0</v>
      </c>
      <c r="E472" s="3">
        <f t="shared" si="475"/>
        <v>0</v>
      </c>
      <c r="F472" s="7">
        <v>0.0</v>
      </c>
      <c r="G472" s="3">
        <f t="shared" si="476"/>
        <v>0</v>
      </c>
      <c r="H472" s="7">
        <v>0.0</v>
      </c>
      <c r="I472" s="3">
        <f t="shared" si="477"/>
        <v>0</v>
      </c>
      <c r="J472" s="3">
        <f t="shared" ref="J472:K472" si="487">D472+F472+H472</f>
        <v>0</v>
      </c>
      <c r="K472" s="3">
        <f t="shared" si="487"/>
        <v>0</v>
      </c>
      <c r="L472" s="6"/>
    </row>
    <row r="473" ht="15.75" customHeight="1">
      <c r="A473" s="3" t="s">
        <v>21</v>
      </c>
      <c r="B473" s="3" t="s">
        <v>14</v>
      </c>
      <c r="C473" s="3">
        <v>149.0</v>
      </c>
      <c r="D473" s="7">
        <v>0.0</v>
      </c>
      <c r="E473" s="3">
        <f t="shared" si="475"/>
        <v>0</v>
      </c>
      <c r="F473" s="7">
        <v>0.0</v>
      </c>
      <c r="G473" s="3">
        <f t="shared" si="476"/>
        <v>0</v>
      </c>
      <c r="H473" s="7">
        <v>0.0</v>
      </c>
      <c r="I473" s="3">
        <f t="shared" si="477"/>
        <v>0</v>
      </c>
      <c r="J473" s="3">
        <f t="shared" ref="J473:K473" si="488">D473+F473+H473</f>
        <v>0</v>
      </c>
      <c r="K473" s="3">
        <f t="shared" si="488"/>
        <v>0</v>
      </c>
      <c r="L473" s="6"/>
    </row>
    <row r="474" ht="15.75" customHeight="1">
      <c r="A474" s="3" t="s">
        <v>21</v>
      </c>
      <c r="B474" s="3" t="s">
        <v>24</v>
      </c>
      <c r="C474" s="3">
        <v>149.0</v>
      </c>
      <c r="D474" s="7">
        <v>0.0</v>
      </c>
      <c r="E474" s="3">
        <f t="shared" si="475"/>
        <v>0</v>
      </c>
      <c r="F474" s="7">
        <v>0.0</v>
      </c>
      <c r="G474" s="3">
        <f t="shared" si="476"/>
        <v>0</v>
      </c>
      <c r="H474" s="7">
        <v>0.0</v>
      </c>
      <c r="I474" s="3">
        <f t="shared" si="477"/>
        <v>0</v>
      </c>
      <c r="J474" s="3">
        <f t="shared" ref="J474:K474" si="489">D474+F474+H474</f>
        <v>0</v>
      </c>
      <c r="K474" s="3">
        <f t="shared" si="489"/>
        <v>0</v>
      </c>
      <c r="L474" s="6"/>
    </row>
    <row r="475" ht="15.75" customHeight="1">
      <c r="A475" s="3" t="s">
        <v>21</v>
      </c>
      <c r="B475" s="3" t="s">
        <v>25</v>
      </c>
      <c r="C475" s="3">
        <v>149.0</v>
      </c>
      <c r="D475" s="7">
        <v>0.0</v>
      </c>
      <c r="E475" s="3">
        <f t="shared" si="475"/>
        <v>0</v>
      </c>
      <c r="F475" s="7">
        <v>0.0</v>
      </c>
      <c r="G475" s="3">
        <f t="shared" si="476"/>
        <v>0</v>
      </c>
      <c r="H475" s="7">
        <v>0.0</v>
      </c>
      <c r="I475" s="3">
        <f t="shared" si="477"/>
        <v>0</v>
      </c>
      <c r="J475" s="3">
        <f t="shared" ref="J475:K475" si="490">D475+F475+H475</f>
        <v>0</v>
      </c>
      <c r="K475" s="3">
        <f t="shared" si="490"/>
        <v>0</v>
      </c>
      <c r="L475" s="6"/>
    </row>
    <row r="476" ht="15.75" customHeight="1">
      <c r="A476" s="3" t="s">
        <v>21</v>
      </c>
      <c r="B476" s="3" t="s">
        <v>26</v>
      </c>
      <c r="C476" s="3">
        <v>149.0</v>
      </c>
      <c r="D476" s="7">
        <v>0.0</v>
      </c>
      <c r="E476" s="3">
        <f t="shared" si="475"/>
        <v>0</v>
      </c>
      <c r="F476" s="7">
        <v>0.0</v>
      </c>
      <c r="G476" s="3">
        <f t="shared" si="476"/>
        <v>0</v>
      </c>
      <c r="H476" s="7">
        <v>0.0</v>
      </c>
      <c r="I476" s="3">
        <f t="shared" si="477"/>
        <v>0</v>
      </c>
      <c r="J476" s="3">
        <f t="shared" ref="J476:K476" si="491">D476+F476+H476</f>
        <v>0</v>
      </c>
      <c r="K476" s="3">
        <f t="shared" si="491"/>
        <v>0</v>
      </c>
      <c r="L476" s="6"/>
    </row>
    <row r="477" ht="15.75" customHeight="1">
      <c r="A477" s="3" t="s">
        <v>21</v>
      </c>
      <c r="B477" s="3" t="s">
        <v>27</v>
      </c>
      <c r="C477" s="3">
        <v>149.0</v>
      </c>
      <c r="D477" s="7">
        <v>0.0</v>
      </c>
      <c r="E477" s="3">
        <f t="shared" si="475"/>
        <v>0</v>
      </c>
      <c r="F477" s="7">
        <v>0.0</v>
      </c>
      <c r="G477" s="3">
        <f t="shared" si="476"/>
        <v>0</v>
      </c>
      <c r="H477" s="7">
        <v>0.0</v>
      </c>
      <c r="I477" s="3">
        <f t="shared" si="477"/>
        <v>0</v>
      </c>
      <c r="J477" s="3">
        <f t="shared" ref="J477:K477" si="492">D477+F477+H477</f>
        <v>0</v>
      </c>
      <c r="K477" s="3">
        <f t="shared" si="492"/>
        <v>0</v>
      </c>
      <c r="L477" s="6"/>
    </row>
    <row r="478" ht="15.75" customHeight="1">
      <c r="A478" s="3" t="s">
        <v>21</v>
      </c>
      <c r="B478" s="3" t="s">
        <v>28</v>
      </c>
      <c r="C478" s="3">
        <v>149.0</v>
      </c>
      <c r="D478" s="7">
        <v>0.0</v>
      </c>
      <c r="E478" s="3">
        <f t="shared" si="475"/>
        <v>0</v>
      </c>
      <c r="F478" s="7">
        <v>0.0</v>
      </c>
      <c r="G478" s="3">
        <f t="shared" si="476"/>
        <v>0</v>
      </c>
      <c r="H478" s="7">
        <v>0.0</v>
      </c>
      <c r="I478" s="3">
        <f t="shared" si="477"/>
        <v>0</v>
      </c>
      <c r="J478" s="3">
        <f t="shared" ref="J478:K478" si="493">D478+F478+H478</f>
        <v>0</v>
      </c>
      <c r="K478" s="3">
        <f t="shared" si="493"/>
        <v>0</v>
      </c>
      <c r="L478" s="6"/>
    </row>
    <row r="479" ht="15.75" customHeight="1">
      <c r="A479" s="3" t="s">
        <v>21</v>
      </c>
      <c r="B479" s="3" t="s">
        <v>29</v>
      </c>
      <c r="C479" s="3">
        <v>149.0</v>
      </c>
      <c r="D479" s="7">
        <v>0.0</v>
      </c>
      <c r="E479" s="3">
        <f t="shared" si="475"/>
        <v>0</v>
      </c>
      <c r="F479" s="7">
        <v>0.0</v>
      </c>
      <c r="G479" s="3">
        <f t="shared" si="476"/>
        <v>0</v>
      </c>
      <c r="H479" s="7">
        <v>0.0</v>
      </c>
      <c r="I479" s="3">
        <f t="shared" si="477"/>
        <v>0</v>
      </c>
      <c r="J479" s="3">
        <f t="shared" ref="J479:K479" si="494">D479+F479+H479</f>
        <v>0</v>
      </c>
      <c r="K479" s="3">
        <f t="shared" si="494"/>
        <v>0</v>
      </c>
      <c r="L479" s="6"/>
    </row>
    <row r="480" ht="15.75" customHeight="1">
      <c r="A480" s="3" t="s">
        <v>21</v>
      </c>
      <c r="B480" s="3" t="s">
        <v>30</v>
      </c>
      <c r="C480" s="3">
        <v>149.0</v>
      </c>
      <c r="D480" s="7">
        <v>0.0</v>
      </c>
      <c r="E480" s="3">
        <f t="shared" si="475"/>
        <v>0</v>
      </c>
      <c r="F480" s="7">
        <v>0.0</v>
      </c>
      <c r="G480" s="3">
        <f t="shared" si="476"/>
        <v>0</v>
      </c>
      <c r="H480" s="7">
        <v>0.0</v>
      </c>
      <c r="I480" s="3">
        <f t="shared" si="477"/>
        <v>0</v>
      </c>
      <c r="J480" s="3">
        <f t="shared" ref="J480:K480" si="495">D480+F480+H480</f>
        <v>0</v>
      </c>
      <c r="K480" s="3">
        <f t="shared" si="495"/>
        <v>0</v>
      </c>
      <c r="L480" s="6"/>
    </row>
    <row r="481" ht="15.75" customHeight="1">
      <c r="A481" s="3" t="s">
        <v>21</v>
      </c>
      <c r="B481" s="3" t="s">
        <v>31</v>
      </c>
      <c r="C481" s="3">
        <v>149.0</v>
      </c>
      <c r="D481" s="7">
        <v>0.0</v>
      </c>
      <c r="E481" s="3">
        <f t="shared" si="475"/>
        <v>0</v>
      </c>
      <c r="F481" s="7">
        <v>0.0</v>
      </c>
      <c r="G481" s="3">
        <f t="shared" si="476"/>
        <v>0</v>
      </c>
      <c r="H481" s="7">
        <v>0.0</v>
      </c>
      <c r="I481" s="3">
        <f t="shared" si="477"/>
        <v>0</v>
      </c>
      <c r="J481" s="3">
        <f t="shared" ref="J481:K481" si="496">D481+F481+H481</f>
        <v>0</v>
      </c>
      <c r="K481" s="3">
        <f t="shared" si="496"/>
        <v>0</v>
      </c>
      <c r="L481" s="6"/>
    </row>
    <row r="482" ht="15.75" customHeight="1">
      <c r="A482" s="3" t="s">
        <v>21</v>
      </c>
      <c r="B482" s="3" t="s">
        <v>32</v>
      </c>
      <c r="C482" s="3">
        <v>149.0</v>
      </c>
      <c r="D482" s="7">
        <v>0.0</v>
      </c>
      <c r="E482" s="3">
        <f t="shared" si="475"/>
        <v>0</v>
      </c>
      <c r="F482" s="7">
        <v>0.0</v>
      </c>
      <c r="G482" s="3">
        <f t="shared" si="476"/>
        <v>0</v>
      </c>
      <c r="H482" s="7">
        <v>0.0</v>
      </c>
      <c r="I482" s="3">
        <f t="shared" si="477"/>
        <v>0</v>
      </c>
      <c r="J482" s="3">
        <f t="shared" ref="J482:K482" si="497">D482+F482+H482</f>
        <v>0</v>
      </c>
      <c r="K482" s="3">
        <f t="shared" si="497"/>
        <v>0</v>
      </c>
      <c r="L482" s="6"/>
    </row>
    <row r="483" ht="15.75" customHeight="1">
      <c r="A483" s="3" t="s">
        <v>33</v>
      </c>
      <c r="B483" s="3" t="s">
        <v>34</v>
      </c>
      <c r="C483" s="3">
        <v>159.0</v>
      </c>
      <c r="D483" s="7">
        <v>0.0</v>
      </c>
      <c r="E483" s="3">
        <f t="shared" si="475"/>
        <v>0</v>
      </c>
      <c r="F483" s="7">
        <v>0.0</v>
      </c>
      <c r="G483" s="3">
        <f t="shared" si="476"/>
        <v>0</v>
      </c>
      <c r="H483" s="7">
        <v>0.0</v>
      </c>
      <c r="I483" s="3">
        <f t="shared" si="477"/>
        <v>0</v>
      </c>
      <c r="J483" s="3">
        <f t="shared" ref="J483:K483" si="498">D483+F483+H483</f>
        <v>0</v>
      </c>
      <c r="K483" s="3">
        <f t="shared" si="498"/>
        <v>0</v>
      </c>
      <c r="L483" s="6"/>
    </row>
    <row r="484" ht="15.75" customHeight="1">
      <c r="A484" s="3" t="s">
        <v>33</v>
      </c>
      <c r="B484" s="3" t="s">
        <v>35</v>
      </c>
      <c r="C484" s="3">
        <v>159.0</v>
      </c>
      <c r="D484" s="7">
        <v>0.0</v>
      </c>
      <c r="E484" s="3">
        <f t="shared" si="475"/>
        <v>0</v>
      </c>
      <c r="F484" s="7">
        <v>0.0</v>
      </c>
      <c r="G484" s="3">
        <f t="shared" si="476"/>
        <v>0</v>
      </c>
      <c r="H484" s="7">
        <v>0.0</v>
      </c>
      <c r="I484" s="3">
        <f t="shared" si="477"/>
        <v>0</v>
      </c>
      <c r="J484" s="3">
        <f t="shared" ref="J484:K484" si="499">D484+F484+H484</f>
        <v>0</v>
      </c>
      <c r="K484" s="3">
        <f t="shared" si="499"/>
        <v>0</v>
      </c>
      <c r="L484" s="6"/>
    </row>
    <row r="485" ht="15.75" customHeight="1">
      <c r="A485" s="3" t="s">
        <v>33</v>
      </c>
      <c r="B485" s="3" t="s">
        <v>36</v>
      </c>
      <c r="C485" s="3">
        <v>159.0</v>
      </c>
      <c r="D485" s="7">
        <v>0.0</v>
      </c>
      <c r="E485" s="3">
        <f t="shared" si="475"/>
        <v>0</v>
      </c>
      <c r="F485" s="7">
        <v>0.0</v>
      </c>
      <c r="G485" s="3">
        <f t="shared" si="476"/>
        <v>0</v>
      </c>
      <c r="H485" s="7">
        <v>0.0</v>
      </c>
      <c r="I485" s="3">
        <f t="shared" si="477"/>
        <v>0</v>
      </c>
      <c r="J485" s="3">
        <f t="shared" ref="J485:K485" si="500">D485+F485+H485</f>
        <v>0</v>
      </c>
      <c r="K485" s="3">
        <f t="shared" si="500"/>
        <v>0</v>
      </c>
      <c r="L485" s="6"/>
    </row>
    <row r="486" ht="15.75" customHeight="1">
      <c r="A486" s="3" t="s">
        <v>33</v>
      </c>
      <c r="B486" s="3" t="s">
        <v>37</v>
      </c>
      <c r="C486" s="3">
        <v>159.0</v>
      </c>
      <c r="D486" s="7">
        <v>0.0</v>
      </c>
      <c r="E486" s="3">
        <f t="shared" si="475"/>
        <v>0</v>
      </c>
      <c r="F486" s="7">
        <v>0.0</v>
      </c>
      <c r="G486" s="3">
        <f t="shared" si="476"/>
        <v>0</v>
      </c>
      <c r="H486" s="7">
        <v>0.0</v>
      </c>
      <c r="I486" s="3">
        <f t="shared" si="477"/>
        <v>0</v>
      </c>
      <c r="J486" s="3">
        <f t="shared" ref="J486:K486" si="501">D486+F486+H486</f>
        <v>0</v>
      </c>
      <c r="K486" s="3">
        <f t="shared" si="501"/>
        <v>0</v>
      </c>
      <c r="L486" s="6"/>
    </row>
    <row r="487" ht="15.75" customHeight="1">
      <c r="A487" s="3" t="s">
        <v>38</v>
      </c>
      <c r="B487" s="3" t="s">
        <v>31</v>
      </c>
      <c r="C487" s="3">
        <v>99.0</v>
      </c>
      <c r="D487" s="7">
        <v>0.0</v>
      </c>
      <c r="E487" s="3">
        <f t="shared" si="475"/>
        <v>0</v>
      </c>
      <c r="F487" s="7">
        <v>0.0</v>
      </c>
      <c r="G487" s="3">
        <f t="shared" si="476"/>
        <v>0</v>
      </c>
      <c r="H487" s="7">
        <v>0.0</v>
      </c>
      <c r="I487" s="3">
        <f t="shared" si="477"/>
        <v>0</v>
      </c>
      <c r="J487" s="3">
        <f t="shared" ref="J487:K487" si="502">D487+F487+H487</f>
        <v>0</v>
      </c>
      <c r="K487" s="3">
        <f t="shared" si="502"/>
        <v>0</v>
      </c>
      <c r="L487" s="6"/>
    </row>
    <row r="488" ht="15.75" customHeight="1">
      <c r="A488" s="3" t="s">
        <v>38</v>
      </c>
      <c r="B488" s="3" t="s">
        <v>24</v>
      </c>
      <c r="C488" s="3">
        <v>99.0</v>
      </c>
      <c r="D488" s="7">
        <v>0.0</v>
      </c>
      <c r="E488" s="3">
        <f t="shared" si="475"/>
        <v>0</v>
      </c>
      <c r="F488" s="7">
        <v>0.0</v>
      </c>
      <c r="G488" s="3">
        <f t="shared" si="476"/>
        <v>0</v>
      </c>
      <c r="H488" s="7">
        <v>0.0</v>
      </c>
      <c r="I488" s="3">
        <f t="shared" si="477"/>
        <v>0</v>
      </c>
      <c r="J488" s="3">
        <f t="shared" ref="J488:K488" si="503">D488+F488+H488</f>
        <v>0</v>
      </c>
      <c r="K488" s="3">
        <f t="shared" si="503"/>
        <v>0</v>
      </c>
      <c r="L488" s="6"/>
    </row>
    <row r="489" ht="15.75" customHeight="1">
      <c r="A489" s="3" t="s">
        <v>38</v>
      </c>
      <c r="B489" s="3" t="s">
        <v>39</v>
      </c>
      <c r="C489" s="3">
        <v>99.0</v>
      </c>
      <c r="D489" s="7">
        <v>0.0</v>
      </c>
      <c r="E489" s="3">
        <f t="shared" si="475"/>
        <v>0</v>
      </c>
      <c r="F489" s="7">
        <v>0.0</v>
      </c>
      <c r="G489" s="3">
        <f t="shared" si="476"/>
        <v>0</v>
      </c>
      <c r="H489" s="7">
        <v>0.0</v>
      </c>
      <c r="I489" s="3">
        <f t="shared" si="477"/>
        <v>0</v>
      </c>
      <c r="J489" s="3">
        <f t="shared" ref="J489:K489" si="504">D489+F489+H489</f>
        <v>0</v>
      </c>
      <c r="K489" s="3">
        <f t="shared" si="504"/>
        <v>0</v>
      </c>
      <c r="L489" s="6"/>
    </row>
    <row r="490" ht="15.75" customHeight="1">
      <c r="A490" s="3" t="s">
        <v>38</v>
      </c>
      <c r="B490" s="3" t="s">
        <v>40</v>
      </c>
      <c r="C490" s="3">
        <v>99.0</v>
      </c>
      <c r="D490" s="7">
        <v>0.0</v>
      </c>
      <c r="E490" s="3">
        <f t="shared" si="475"/>
        <v>0</v>
      </c>
      <c r="F490" s="7">
        <v>0.0</v>
      </c>
      <c r="G490" s="3">
        <f t="shared" si="476"/>
        <v>0</v>
      </c>
      <c r="H490" s="7">
        <v>0.0</v>
      </c>
      <c r="I490" s="3">
        <f t="shared" si="477"/>
        <v>0</v>
      </c>
      <c r="J490" s="3">
        <f t="shared" ref="J490:K490" si="505">D490+F490+H490</f>
        <v>0</v>
      </c>
      <c r="K490" s="3">
        <f t="shared" si="505"/>
        <v>0</v>
      </c>
      <c r="L490" s="6"/>
    </row>
    <row r="491" ht="15.75" customHeight="1">
      <c r="A491" s="3" t="s">
        <v>38</v>
      </c>
      <c r="B491" s="3" t="s">
        <v>41</v>
      </c>
      <c r="C491" s="3">
        <v>99.0</v>
      </c>
      <c r="D491" s="7">
        <v>0.0</v>
      </c>
      <c r="E491" s="3">
        <f t="shared" si="475"/>
        <v>0</v>
      </c>
      <c r="F491" s="7">
        <v>0.0</v>
      </c>
      <c r="G491" s="3">
        <f t="shared" si="476"/>
        <v>0</v>
      </c>
      <c r="H491" s="7">
        <v>0.0</v>
      </c>
      <c r="I491" s="3">
        <f t="shared" si="477"/>
        <v>0</v>
      </c>
      <c r="J491" s="3">
        <f t="shared" ref="J491:K491" si="506">D491+F491+H491</f>
        <v>0</v>
      </c>
      <c r="K491" s="3">
        <f t="shared" si="506"/>
        <v>0</v>
      </c>
      <c r="L491" s="6"/>
    </row>
    <row r="492" ht="15.75" customHeight="1">
      <c r="A492" s="3" t="s">
        <v>42</v>
      </c>
      <c r="B492" s="3" t="s">
        <v>43</v>
      </c>
      <c r="C492" s="3">
        <v>149.0</v>
      </c>
      <c r="D492" s="7">
        <v>0.0</v>
      </c>
      <c r="E492" s="3">
        <f t="shared" si="475"/>
        <v>0</v>
      </c>
      <c r="F492" s="7">
        <v>0.0</v>
      </c>
      <c r="G492" s="3">
        <f t="shared" si="476"/>
        <v>0</v>
      </c>
      <c r="H492" s="7">
        <v>0.0</v>
      </c>
      <c r="I492" s="3">
        <f t="shared" si="477"/>
        <v>0</v>
      </c>
      <c r="J492" s="3">
        <f t="shared" ref="J492:K492" si="507">D492+F492+H492</f>
        <v>0</v>
      </c>
      <c r="K492" s="3">
        <f t="shared" si="507"/>
        <v>0</v>
      </c>
      <c r="L492" s="6"/>
    </row>
    <row r="493" ht="15.75" customHeight="1">
      <c r="A493" s="3" t="s">
        <v>42</v>
      </c>
      <c r="B493" s="3" t="s">
        <v>44</v>
      </c>
      <c r="C493" s="3">
        <v>149.0</v>
      </c>
      <c r="D493" s="7">
        <v>0.0</v>
      </c>
      <c r="E493" s="3">
        <f t="shared" si="475"/>
        <v>0</v>
      </c>
      <c r="F493" s="7">
        <v>0.0</v>
      </c>
      <c r="G493" s="3">
        <f t="shared" si="476"/>
        <v>0</v>
      </c>
      <c r="H493" s="7">
        <v>0.0</v>
      </c>
      <c r="I493" s="3">
        <f t="shared" si="477"/>
        <v>0</v>
      </c>
      <c r="J493" s="3">
        <f t="shared" ref="J493:K493" si="508">D493+F493+H493</f>
        <v>0</v>
      </c>
      <c r="K493" s="3">
        <f t="shared" si="508"/>
        <v>0</v>
      </c>
      <c r="L493" s="6"/>
    </row>
    <row r="494" ht="15.75" customHeight="1">
      <c r="A494" s="3" t="s">
        <v>42</v>
      </c>
      <c r="B494" s="3" t="s">
        <v>45</v>
      </c>
      <c r="C494" s="3">
        <v>149.0</v>
      </c>
      <c r="D494" s="7">
        <v>0.0</v>
      </c>
      <c r="E494" s="3">
        <f t="shared" si="475"/>
        <v>0</v>
      </c>
      <c r="F494" s="7">
        <v>0.0</v>
      </c>
      <c r="G494" s="3">
        <f t="shared" si="476"/>
        <v>0</v>
      </c>
      <c r="H494" s="7">
        <v>0.0</v>
      </c>
      <c r="I494" s="3">
        <f t="shared" si="477"/>
        <v>0</v>
      </c>
      <c r="J494" s="3">
        <f t="shared" ref="J494:K494" si="509">D494+F494+H494</f>
        <v>0</v>
      </c>
      <c r="K494" s="3">
        <f t="shared" si="509"/>
        <v>0</v>
      </c>
      <c r="L494" s="6"/>
    </row>
    <row r="495" ht="15.75" customHeight="1">
      <c r="A495" s="3" t="s">
        <v>42</v>
      </c>
      <c r="B495" s="3" t="s">
        <v>46</v>
      </c>
      <c r="C495" s="3">
        <v>149.0</v>
      </c>
      <c r="D495" s="7">
        <v>0.0</v>
      </c>
      <c r="E495" s="3">
        <f t="shared" si="475"/>
        <v>0</v>
      </c>
      <c r="F495" s="7">
        <v>0.0</v>
      </c>
      <c r="G495" s="3">
        <f t="shared" si="476"/>
        <v>0</v>
      </c>
      <c r="H495" s="7">
        <v>0.0</v>
      </c>
      <c r="I495" s="3">
        <f t="shared" si="477"/>
        <v>0</v>
      </c>
      <c r="J495" s="3">
        <f t="shared" ref="J495:K495" si="510">D495+F495+H495</f>
        <v>0</v>
      </c>
      <c r="K495" s="3">
        <f t="shared" si="510"/>
        <v>0</v>
      </c>
      <c r="L495" s="6"/>
    </row>
    <row r="496" ht="15.75" customHeight="1">
      <c r="A496" s="3" t="s">
        <v>47</v>
      </c>
      <c r="B496" s="3" t="s">
        <v>48</v>
      </c>
      <c r="C496" s="3">
        <v>25.0</v>
      </c>
      <c r="D496" s="7">
        <v>0.0</v>
      </c>
      <c r="E496" s="3">
        <f t="shared" si="475"/>
        <v>0</v>
      </c>
      <c r="F496" s="7">
        <v>0.0</v>
      </c>
      <c r="G496" s="3">
        <f t="shared" si="476"/>
        <v>0</v>
      </c>
      <c r="H496" s="7">
        <v>0.0</v>
      </c>
      <c r="I496" s="3">
        <f t="shared" si="477"/>
        <v>0</v>
      </c>
      <c r="J496" s="3">
        <f t="shared" ref="J496:K496" si="511">D496+F496+H496</f>
        <v>0</v>
      </c>
      <c r="K496" s="3">
        <f t="shared" si="511"/>
        <v>0</v>
      </c>
      <c r="L496" s="6"/>
    </row>
    <row r="497" ht="15.75" customHeight="1">
      <c r="A497" s="3" t="s">
        <v>47</v>
      </c>
      <c r="B497" s="3" t="s">
        <v>49</v>
      </c>
      <c r="C497" s="3">
        <v>20.0</v>
      </c>
      <c r="D497" s="7">
        <v>0.0</v>
      </c>
      <c r="E497" s="3">
        <f t="shared" si="475"/>
        <v>0</v>
      </c>
      <c r="F497" s="7">
        <v>0.0</v>
      </c>
      <c r="G497" s="3">
        <f t="shared" si="476"/>
        <v>0</v>
      </c>
      <c r="H497" s="7">
        <v>0.0</v>
      </c>
      <c r="I497" s="3">
        <f t="shared" si="477"/>
        <v>0</v>
      </c>
      <c r="J497" s="3">
        <f t="shared" ref="J497:K497" si="512">D497+F497+H497</f>
        <v>0</v>
      </c>
      <c r="K497" s="3">
        <f t="shared" si="512"/>
        <v>0</v>
      </c>
      <c r="L497" s="6"/>
    </row>
    <row r="498" ht="15.75" customHeight="1">
      <c r="A498" s="3" t="s">
        <v>47</v>
      </c>
      <c r="B498" s="3" t="s">
        <v>50</v>
      </c>
      <c r="C498" s="3">
        <v>20.0</v>
      </c>
      <c r="D498" s="7">
        <v>0.0</v>
      </c>
      <c r="E498" s="3">
        <f t="shared" si="475"/>
        <v>0</v>
      </c>
      <c r="F498" s="7">
        <v>0.0</v>
      </c>
      <c r="G498" s="3">
        <f t="shared" si="476"/>
        <v>0</v>
      </c>
      <c r="H498" s="7">
        <v>0.0</v>
      </c>
      <c r="I498" s="3">
        <f t="shared" si="477"/>
        <v>0</v>
      </c>
      <c r="J498" s="3">
        <f t="shared" ref="J498:K498" si="513">D498+F498+H498</f>
        <v>0</v>
      </c>
      <c r="K498" s="3">
        <f t="shared" si="513"/>
        <v>0</v>
      </c>
      <c r="L498" s="6"/>
    </row>
    <row r="499" ht="15.75" customHeight="1">
      <c r="A499" s="3" t="s">
        <v>47</v>
      </c>
      <c r="B499" s="3" t="s">
        <v>51</v>
      </c>
      <c r="C499" s="3">
        <v>20.0</v>
      </c>
      <c r="D499" s="7">
        <v>0.0</v>
      </c>
      <c r="E499" s="3">
        <f t="shared" si="475"/>
        <v>0</v>
      </c>
      <c r="F499" s="7">
        <v>0.0</v>
      </c>
      <c r="G499" s="3">
        <f t="shared" si="476"/>
        <v>0</v>
      </c>
      <c r="H499" s="7">
        <v>0.0</v>
      </c>
      <c r="I499" s="3">
        <f t="shared" si="477"/>
        <v>0</v>
      </c>
      <c r="J499" s="3">
        <f t="shared" ref="J499:K499" si="514">D499+F499+H499</f>
        <v>0</v>
      </c>
      <c r="K499" s="3">
        <f t="shared" si="514"/>
        <v>0</v>
      </c>
      <c r="L499" s="6"/>
    </row>
    <row r="500" ht="15.75" customHeight="1">
      <c r="A500" s="3" t="s">
        <v>47</v>
      </c>
      <c r="B500" s="3" t="s">
        <v>52</v>
      </c>
      <c r="C500" s="3">
        <v>25.0</v>
      </c>
      <c r="D500" s="7">
        <v>0.0</v>
      </c>
      <c r="E500" s="3">
        <f t="shared" si="475"/>
        <v>0</v>
      </c>
      <c r="F500" s="7">
        <v>0.0</v>
      </c>
      <c r="G500" s="3">
        <f t="shared" si="476"/>
        <v>0</v>
      </c>
      <c r="H500" s="7">
        <v>0.0</v>
      </c>
      <c r="I500" s="3">
        <f t="shared" si="477"/>
        <v>0</v>
      </c>
      <c r="J500" s="3">
        <f t="shared" ref="J500:K500" si="515">D500+F500+H500</f>
        <v>0</v>
      </c>
      <c r="K500" s="3">
        <f t="shared" si="515"/>
        <v>0</v>
      </c>
      <c r="L500" s="6"/>
    </row>
    <row r="501" ht="15.75" customHeight="1">
      <c r="A501" s="3" t="s">
        <v>47</v>
      </c>
      <c r="B501" s="3" t="s">
        <v>53</v>
      </c>
      <c r="C501" s="3">
        <v>20.0</v>
      </c>
      <c r="D501" s="7">
        <v>0.0</v>
      </c>
      <c r="E501" s="3">
        <f t="shared" si="475"/>
        <v>0</v>
      </c>
      <c r="F501" s="7">
        <v>0.0</v>
      </c>
      <c r="G501" s="3">
        <f t="shared" si="476"/>
        <v>0</v>
      </c>
      <c r="H501" s="7">
        <v>0.0</v>
      </c>
      <c r="I501" s="3">
        <f t="shared" si="477"/>
        <v>0</v>
      </c>
      <c r="J501" s="3">
        <f t="shared" ref="J501:K501" si="516">D501+F501+H501</f>
        <v>0</v>
      </c>
      <c r="K501" s="3">
        <f t="shared" si="516"/>
        <v>0</v>
      </c>
      <c r="L501" s="6"/>
    </row>
    <row r="502" ht="15.75" customHeight="1">
      <c r="A502" s="3" t="s">
        <v>54</v>
      </c>
      <c r="B502" s="3" t="s">
        <v>55</v>
      </c>
      <c r="C502" s="3">
        <v>149.0</v>
      </c>
      <c r="D502" s="7">
        <v>0.0</v>
      </c>
      <c r="E502" s="3">
        <f t="shared" si="475"/>
        <v>0</v>
      </c>
      <c r="F502" s="7">
        <v>0.0</v>
      </c>
      <c r="G502" s="3">
        <f t="shared" si="476"/>
        <v>0</v>
      </c>
      <c r="H502" s="7">
        <v>0.0</v>
      </c>
      <c r="I502" s="3">
        <f t="shared" si="477"/>
        <v>0</v>
      </c>
      <c r="J502" s="3">
        <f t="shared" ref="J502:K502" si="517">D502+F502+H502</f>
        <v>0</v>
      </c>
      <c r="K502" s="3">
        <f t="shared" si="517"/>
        <v>0</v>
      </c>
      <c r="L502" s="6"/>
    </row>
    <row r="503" ht="15.75" customHeight="1">
      <c r="A503" s="3" t="s">
        <v>54</v>
      </c>
      <c r="B503" s="3" t="s">
        <v>56</v>
      </c>
      <c r="C503" s="3">
        <v>149.0</v>
      </c>
      <c r="D503" s="7">
        <v>0.0</v>
      </c>
      <c r="E503" s="3">
        <f t="shared" si="475"/>
        <v>0</v>
      </c>
      <c r="F503" s="7">
        <v>0.0</v>
      </c>
      <c r="G503" s="3">
        <f t="shared" si="476"/>
        <v>0</v>
      </c>
      <c r="H503" s="7">
        <v>0.0</v>
      </c>
      <c r="I503" s="3">
        <f t="shared" si="477"/>
        <v>0</v>
      </c>
      <c r="J503" s="3">
        <f t="shared" ref="J503:K503" si="518">D503+F503+H503</f>
        <v>0</v>
      </c>
      <c r="K503" s="3">
        <f t="shared" si="518"/>
        <v>0</v>
      </c>
      <c r="L503" s="6"/>
    </row>
    <row r="504" ht="15.75" customHeight="1">
      <c r="A504" s="3" t="s">
        <v>54</v>
      </c>
      <c r="B504" s="3" t="s">
        <v>57</v>
      </c>
      <c r="C504" s="3">
        <v>149.0</v>
      </c>
      <c r="D504" s="7">
        <v>0.0</v>
      </c>
      <c r="E504" s="3">
        <f t="shared" si="475"/>
        <v>0</v>
      </c>
      <c r="F504" s="7">
        <v>0.0</v>
      </c>
      <c r="G504" s="3">
        <f t="shared" si="476"/>
        <v>0</v>
      </c>
      <c r="H504" s="7">
        <v>0.0</v>
      </c>
      <c r="I504" s="3">
        <f t="shared" si="477"/>
        <v>0</v>
      </c>
      <c r="J504" s="3">
        <f t="shared" ref="J504:K504" si="519">D504+F504+H504</f>
        <v>0</v>
      </c>
      <c r="K504" s="3">
        <f t="shared" si="519"/>
        <v>0</v>
      </c>
      <c r="L504" s="6"/>
    </row>
    <row r="505" ht="15.75" customHeight="1">
      <c r="A505" s="13" t="s">
        <v>58</v>
      </c>
      <c r="B505" s="14"/>
      <c r="C505" s="14"/>
      <c r="D505" s="14"/>
      <c r="E505" s="13">
        <f>SUM(E462:E504)</f>
        <v>0</v>
      </c>
      <c r="F505" s="14"/>
      <c r="G505" s="13">
        <f>SUM(G462:G504)</f>
        <v>0</v>
      </c>
      <c r="H505" s="14"/>
      <c r="I505" s="13">
        <f t="shared" ref="I505:K505" si="520">SUM(I462:I504)</f>
        <v>0</v>
      </c>
      <c r="J505" s="13">
        <f t="shared" si="520"/>
        <v>0</v>
      </c>
      <c r="K505" s="13">
        <f t="shared" si="520"/>
        <v>0</v>
      </c>
      <c r="L505" s="15">
        <v>46011.0</v>
      </c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1" t="s">
        <v>0</v>
      </c>
      <c r="B507" s="1" t="s">
        <v>1</v>
      </c>
      <c r="C507" s="1" t="s">
        <v>2</v>
      </c>
      <c r="D507" s="2" t="s">
        <v>3</v>
      </c>
      <c r="E507" s="1" t="s">
        <v>4</v>
      </c>
      <c r="F507" s="2" t="s">
        <v>5</v>
      </c>
      <c r="G507" s="1" t="s">
        <v>6</v>
      </c>
      <c r="H507" s="2" t="s">
        <v>7</v>
      </c>
      <c r="I507" s="1" t="s">
        <v>8</v>
      </c>
      <c r="J507" s="1" t="s">
        <v>9</v>
      </c>
      <c r="K507" s="1" t="s">
        <v>10</v>
      </c>
      <c r="L507" s="3" t="s">
        <v>11</v>
      </c>
    </row>
    <row r="508" ht="15.75" customHeight="1">
      <c r="A508" s="3" t="s">
        <v>12</v>
      </c>
      <c r="B508" s="3" t="s">
        <v>13</v>
      </c>
      <c r="C508" s="3">
        <v>189.0</v>
      </c>
      <c r="D508" s="7">
        <v>0.0</v>
      </c>
      <c r="E508" s="3">
        <f t="shared" ref="E508:E550" si="522">C508*D508</f>
        <v>0</v>
      </c>
      <c r="F508" s="7">
        <v>0.0</v>
      </c>
      <c r="G508" s="4">
        <f t="shared" ref="G508:G550" si="523">C508*F508</f>
        <v>0</v>
      </c>
      <c r="H508" s="7">
        <v>0.0</v>
      </c>
      <c r="I508" s="3">
        <f t="shared" ref="I508:I550" si="524">C508*H508</f>
        <v>0</v>
      </c>
      <c r="J508" s="3">
        <f t="shared" ref="J508:K508" si="521">D508+F508+H508</f>
        <v>0</v>
      </c>
      <c r="K508" s="3">
        <f t="shared" si="521"/>
        <v>0</v>
      </c>
      <c r="L508" s="6"/>
    </row>
    <row r="509" ht="15.75" customHeight="1">
      <c r="A509" s="3" t="s">
        <v>12</v>
      </c>
      <c r="B509" s="3" t="s">
        <v>14</v>
      </c>
      <c r="C509" s="3">
        <v>189.0</v>
      </c>
      <c r="D509" s="7">
        <v>0.0</v>
      </c>
      <c r="E509" s="3">
        <f t="shared" si="522"/>
        <v>0</v>
      </c>
      <c r="F509" s="7">
        <v>0.0</v>
      </c>
      <c r="G509" s="3">
        <f t="shared" si="523"/>
        <v>0</v>
      </c>
      <c r="H509" s="7">
        <v>0.0</v>
      </c>
      <c r="I509" s="3">
        <f t="shared" si="524"/>
        <v>0</v>
      </c>
      <c r="J509" s="3">
        <f t="shared" ref="J509:K509" si="525">D509+F509+H509</f>
        <v>0</v>
      </c>
      <c r="K509" s="3">
        <f t="shared" si="525"/>
        <v>0</v>
      </c>
      <c r="L509" s="6"/>
    </row>
    <row r="510" ht="15.75" customHeight="1">
      <c r="A510" s="3" t="s">
        <v>12</v>
      </c>
      <c r="B510" s="3" t="s">
        <v>15</v>
      </c>
      <c r="C510" s="3">
        <v>189.0</v>
      </c>
      <c r="D510" s="7">
        <v>0.0</v>
      </c>
      <c r="E510" s="3">
        <f t="shared" si="522"/>
        <v>0</v>
      </c>
      <c r="F510" s="7">
        <v>0.0</v>
      </c>
      <c r="G510" s="3">
        <f t="shared" si="523"/>
        <v>0</v>
      </c>
      <c r="H510" s="7">
        <v>0.0</v>
      </c>
      <c r="I510" s="3">
        <f t="shared" si="524"/>
        <v>0</v>
      </c>
      <c r="J510" s="3">
        <f t="shared" ref="J510:K510" si="526">D510+F510+H510</f>
        <v>0</v>
      </c>
      <c r="K510" s="3">
        <f t="shared" si="526"/>
        <v>0</v>
      </c>
      <c r="L510" s="6"/>
    </row>
    <row r="511" ht="15.75" customHeight="1">
      <c r="A511" s="3" t="s">
        <v>12</v>
      </c>
      <c r="B511" s="3" t="s">
        <v>16</v>
      </c>
      <c r="C511" s="3">
        <v>189.0</v>
      </c>
      <c r="D511" s="7">
        <v>0.0</v>
      </c>
      <c r="E511" s="3">
        <f t="shared" si="522"/>
        <v>0</v>
      </c>
      <c r="F511" s="7">
        <v>0.0</v>
      </c>
      <c r="G511" s="3">
        <f t="shared" si="523"/>
        <v>0</v>
      </c>
      <c r="H511" s="7">
        <v>0.0</v>
      </c>
      <c r="I511" s="3">
        <f t="shared" si="524"/>
        <v>0</v>
      </c>
      <c r="J511" s="3">
        <f t="shared" ref="J511:K511" si="527">D511+F511+H511</f>
        <v>0</v>
      </c>
      <c r="K511" s="3">
        <f t="shared" si="527"/>
        <v>0</v>
      </c>
      <c r="L511" s="6"/>
    </row>
    <row r="512" ht="15.75" customHeight="1">
      <c r="A512" s="3" t="s">
        <v>12</v>
      </c>
      <c r="B512" s="3" t="s">
        <v>17</v>
      </c>
      <c r="C512" s="3">
        <v>189.0</v>
      </c>
      <c r="D512" s="7">
        <v>0.0</v>
      </c>
      <c r="E512" s="3">
        <f t="shared" si="522"/>
        <v>0</v>
      </c>
      <c r="F512" s="7">
        <v>0.0</v>
      </c>
      <c r="G512" s="3">
        <f t="shared" si="523"/>
        <v>0</v>
      </c>
      <c r="H512" s="7">
        <v>0.0</v>
      </c>
      <c r="I512" s="3">
        <f t="shared" si="524"/>
        <v>0</v>
      </c>
      <c r="J512" s="3">
        <f t="shared" ref="J512:K512" si="528">D512+F512+H512</f>
        <v>0</v>
      </c>
      <c r="K512" s="3">
        <f t="shared" si="528"/>
        <v>0</v>
      </c>
      <c r="L512" s="6"/>
    </row>
    <row r="513" ht="15.75" customHeight="1">
      <c r="A513" s="3" t="s">
        <v>12</v>
      </c>
      <c r="B513" s="3" t="s">
        <v>18</v>
      </c>
      <c r="C513" s="3">
        <v>189.0</v>
      </c>
      <c r="D513" s="7">
        <v>0.0</v>
      </c>
      <c r="E513" s="3">
        <f t="shared" si="522"/>
        <v>0</v>
      </c>
      <c r="F513" s="7">
        <v>0.0</v>
      </c>
      <c r="G513" s="3">
        <f t="shared" si="523"/>
        <v>0</v>
      </c>
      <c r="H513" s="7">
        <v>0.0</v>
      </c>
      <c r="I513" s="3">
        <f t="shared" si="524"/>
        <v>0</v>
      </c>
      <c r="J513" s="3">
        <f t="shared" ref="J513:K513" si="529">D513+F513+H513</f>
        <v>0</v>
      </c>
      <c r="K513" s="3">
        <f t="shared" si="529"/>
        <v>0</v>
      </c>
      <c r="L513" s="6"/>
    </row>
    <row r="514" ht="15.75" customHeight="1">
      <c r="A514" s="3" t="s">
        <v>12</v>
      </c>
      <c r="B514" s="3" t="s">
        <v>19</v>
      </c>
      <c r="C514" s="3">
        <v>189.0</v>
      </c>
      <c r="D514" s="7">
        <v>0.0</v>
      </c>
      <c r="E514" s="3">
        <f t="shared" si="522"/>
        <v>0</v>
      </c>
      <c r="F514" s="7">
        <v>0.0</v>
      </c>
      <c r="G514" s="3">
        <f t="shared" si="523"/>
        <v>0</v>
      </c>
      <c r="H514" s="7">
        <v>0.0</v>
      </c>
      <c r="I514" s="3">
        <f t="shared" si="524"/>
        <v>0</v>
      </c>
      <c r="J514" s="3">
        <f t="shared" ref="J514:K514" si="530">D514+F514+H514</f>
        <v>0</v>
      </c>
      <c r="K514" s="3">
        <f t="shared" si="530"/>
        <v>0</v>
      </c>
      <c r="L514" s="6"/>
    </row>
    <row r="515" ht="15.75" customHeight="1">
      <c r="A515" s="3" t="s">
        <v>12</v>
      </c>
      <c r="B515" s="3" t="s">
        <v>20</v>
      </c>
      <c r="C515" s="3">
        <v>189.0</v>
      </c>
      <c r="D515" s="7">
        <v>0.0</v>
      </c>
      <c r="E515" s="3">
        <f t="shared" si="522"/>
        <v>0</v>
      </c>
      <c r="F515" s="7">
        <v>0.0</v>
      </c>
      <c r="G515" s="3">
        <f t="shared" si="523"/>
        <v>0</v>
      </c>
      <c r="H515" s="7">
        <v>0.0</v>
      </c>
      <c r="I515" s="3">
        <f t="shared" si="524"/>
        <v>0</v>
      </c>
      <c r="J515" s="3">
        <f t="shared" ref="J515:K515" si="531">D515+F515+H515</f>
        <v>0</v>
      </c>
      <c r="K515" s="3">
        <f t="shared" si="531"/>
        <v>0</v>
      </c>
      <c r="L515" s="6"/>
    </row>
    <row r="516" ht="15.75" customHeight="1">
      <c r="A516" s="3" t="s">
        <v>21</v>
      </c>
      <c r="B516" s="3" t="s">
        <v>20</v>
      </c>
      <c r="C516" s="3">
        <v>149.0</v>
      </c>
      <c r="D516" s="7">
        <v>0.0</v>
      </c>
      <c r="E516" s="3">
        <f t="shared" si="522"/>
        <v>0</v>
      </c>
      <c r="F516" s="7">
        <v>0.0</v>
      </c>
      <c r="G516" s="3">
        <f t="shared" si="523"/>
        <v>0</v>
      </c>
      <c r="H516" s="7">
        <v>0.0</v>
      </c>
      <c r="I516" s="3">
        <f t="shared" si="524"/>
        <v>0</v>
      </c>
      <c r="J516" s="3">
        <f t="shared" ref="J516:K516" si="532">D516+F516+H516</f>
        <v>0</v>
      </c>
      <c r="K516" s="3">
        <f t="shared" si="532"/>
        <v>0</v>
      </c>
      <c r="L516" s="6"/>
    </row>
    <row r="517" ht="15.75" customHeight="1">
      <c r="A517" s="3" t="s">
        <v>21</v>
      </c>
      <c r="B517" s="3" t="s">
        <v>22</v>
      </c>
      <c r="C517" s="3">
        <v>149.0</v>
      </c>
      <c r="D517" s="7">
        <v>0.0</v>
      </c>
      <c r="E517" s="3">
        <f t="shared" si="522"/>
        <v>0</v>
      </c>
      <c r="F517" s="7">
        <v>0.0</v>
      </c>
      <c r="G517" s="3">
        <f t="shared" si="523"/>
        <v>0</v>
      </c>
      <c r="H517" s="7">
        <v>0.0</v>
      </c>
      <c r="I517" s="3">
        <f t="shared" si="524"/>
        <v>0</v>
      </c>
      <c r="J517" s="3">
        <f t="shared" ref="J517:K517" si="533">D517+F517+H517</f>
        <v>0</v>
      </c>
      <c r="K517" s="3">
        <f t="shared" si="533"/>
        <v>0</v>
      </c>
      <c r="L517" s="6"/>
    </row>
    <row r="518" ht="15.75" customHeight="1">
      <c r="A518" s="3" t="s">
        <v>21</v>
      </c>
      <c r="B518" s="3" t="s">
        <v>23</v>
      </c>
      <c r="C518" s="3">
        <v>149.0</v>
      </c>
      <c r="D518" s="7">
        <v>0.0</v>
      </c>
      <c r="E518" s="3">
        <f t="shared" si="522"/>
        <v>0</v>
      </c>
      <c r="F518" s="7">
        <v>0.0</v>
      </c>
      <c r="G518" s="3">
        <f t="shared" si="523"/>
        <v>0</v>
      </c>
      <c r="H518" s="7">
        <v>0.0</v>
      </c>
      <c r="I518" s="3">
        <f t="shared" si="524"/>
        <v>0</v>
      </c>
      <c r="J518" s="3">
        <f t="shared" ref="J518:K518" si="534">D518+F518+H518</f>
        <v>0</v>
      </c>
      <c r="K518" s="3">
        <f t="shared" si="534"/>
        <v>0</v>
      </c>
      <c r="L518" s="6"/>
    </row>
    <row r="519" ht="15.75" customHeight="1">
      <c r="A519" s="3" t="s">
        <v>21</v>
      </c>
      <c r="B519" s="3" t="s">
        <v>14</v>
      </c>
      <c r="C519" s="3">
        <v>149.0</v>
      </c>
      <c r="D519" s="7">
        <v>0.0</v>
      </c>
      <c r="E519" s="3">
        <f t="shared" si="522"/>
        <v>0</v>
      </c>
      <c r="F519" s="7">
        <v>0.0</v>
      </c>
      <c r="G519" s="3">
        <f t="shared" si="523"/>
        <v>0</v>
      </c>
      <c r="H519" s="7">
        <v>0.0</v>
      </c>
      <c r="I519" s="3">
        <f t="shared" si="524"/>
        <v>0</v>
      </c>
      <c r="J519" s="3">
        <f t="shared" ref="J519:K519" si="535">D519+F519+H519</f>
        <v>0</v>
      </c>
      <c r="K519" s="3">
        <f t="shared" si="535"/>
        <v>0</v>
      </c>
      <c r="L519" s="6"/>
    </row>
    <row r="520" ht="15.75" customHeight="1">
      <c r="A520" s="3" t="s">
        <v>21</v>
      </c>
      <c r="B520" s="3" t="s">
        <v>24</v>
      </c>
      <c r="C520" s="3">
        <v>149.0</v>
      </c>
      <c r="D520" s="7">
        <v>0.0</v>
      </c>
      <c r="E520" s="3">
        <f t="shared" si="522"/>
        <v>0</v>
      </c>
      <c r="F520" s="7">
        <v>0.0</v>
      </c>
      <c r="G520" s="3">
        <f t="shared" si="523"/>
        <v>0</v>
      </c>
      <c r="H520" s="7">
        <v>0.0</v>
      </c>
      <c r="I520" s="3">
        <f t="shared" si="524"/>
        <v>0</v>
      </c>
      <c r="J520" s="3">
        <f t="shared" ref="J520:K520" si="536">D520+F520+H520</f>
        <v>0</v>
      </c>
      <c r="K520" s="3">
        <f t="shared" si="536"/>
        <v>0</v>
      </c>
      <c r="L520" s="6"/>
    </row>
    <row r="521" ht="15.75" customHeight="1">
      <c r="A521" s="3" t="s">
        <v>21</v>
      </c>
      <c r="B521" s="3" t="s">
        <v>25</v>
      </c>
      <c r="C521" s="3">
        <v>149.0</v>
      </c>
      <c r="D521" s="7">
        <v>0.0</v>
      </c>
      <c r="E521" s="3">
        <f t="shared" si="522"/>
        <v>0</v>
      </c>
      <c r="F521" s="7">
        <v>0.0</v>
      </c>
      <c r="G521" s="3">
        <f t="shared" si="523"/>
        <v>0</v>
      </c>
      <c r="H521" s="7">
        <v>0.0</v>
      </c>
      <c r="I521" s="3">
        <f t="shared" si="524"/>
        <v>0</v>
      </c>
      <c r="J521" s="3">
        <f t="shared" ref="J521:K521" si="537">D521+F521+H521</f>
        <v>0</v>
      </c>
      <c r="K521" s="3">
        <f t="shared" si="537"/>
        <v>0</v>
      </c>
      <c r="L521" s="6"/>
    </row>
    <row r="522" ht="15.75" customHeight="1">
      <c r="A522" s="3" t="s">
        <v>21</v>
      </c>
      <c r="B522" s="3" t="s">
        <v>26</v>
      </c>
      <c r="C522" s="3">
        <v>149.0</v>
      </c>
      <c r="D522" s="7">
        <v>0.0</v>
      </c>
      <c r="E522" s="3">
        <f t="shared" si="522"/>
        <v>0</v>
      </c>
      <c r="F522" s="7">
        <v>0.0</v>
      </c>
      <c r="G522" s="3">
        <f t="shared" si="523"/>
        <v>0</v>
      </c>
      <c r="H522" s="7">
        <v>0.0</v>
      </c>
      <c r="I522" s="3">
        <f t="shared" si="524"/>
        <v>0</v>
      </c>
      <c r="J522" s="3">
        <f t="shared" ref="J522:K522" si="538">D522+F522+H522</f>
        <v>0</v>
      </c>
      <c r="K522" s="3">
        <f t="shared" si="538"/>
        <v>0</v>
      </c>
      <c r="L522" s="6"/>
    </row>
    <row r="523" ht="15.75" customHeight="1">
      <c r="A523" s="3" t="s">
        <v>21</v>
      </c>
      <c r="B523" s="3" t="s">
        <v>27</v>
      </c>
      <c r="C523" s="3">
        <v>149.0</v>
      </c>
      <c r="D523" s="7">
        <v>0.0</v>
      </c>
      <c r="E523" s="3">
        <f t="shared" si="522"/>
        <v>0</v>
      </c>
      <c r="F523" s="7">
        <v>0.0</v>
      </c>
      <c r="G523" s="3">
        <f t="shared" si="523"/>
        <v>0</v>
      </c>
      <c r="H523" s="7">
        <v>0.0</v>
      </c>
      <c r="I523" s="3">
        <f t="shared" si="524"/>
        <v>0</v>
      </c>
      <c r="J523" s="3">
        <f t="shared" ref="J523:K523" si="539">D523+F523+H523</f>
        <v>0</v>
      </c>
      <c r="K523" s="3">
        <f t="shared" si="539"/>
        <v>0</v>
      </c>
      <c r="L523" s="6"/>
    </row>
    <row r="524" ht="15.75" customHeight="1">
      <c r="A524" s="3" t="s">
        <v>21</v>
      </c>
      <c r="B524" s="3" t="s">
        <v>28</v>
      </c>
      <c r="C524" s="3">
        <v>149.0</v>
      </c>
      <c r="D524" s="7">
        <v>0.0</v>
      </c>
      <c r="E524" s="3">
        <f t="shared" si="522"/>
        <v>0</v>
      </c>
      <c r="F524" s="7">
        <v>0.0</v>
      </c>
      <c r="G524" s="3">
        <f t="shared" si="523"/>
        <v>0</v>
      </c>
      <c r="H524" s="7">
        <v>0.0</v>
      </c>
      <c r="I524" s="3">
        <f t="shared" si="524"/>
        <v>0</v>
      </c>
      <c r="J524" s="3">
        <f t="shared" ref="J524:K524" si="540">D524+F524+H524</f>
        <v>0</v>
      </c>
      <c r="K524" s="3">
        <f t="shared" si="540"/>
        <v>0</v>
      </c>
      <c r="L524" s="6"/>
    </row>
    <row r="525" ht="15.75" customHeight="1">
      <c r="A525" s="3" t="s">
        <v>21</v>
      </c>
      <c r="B525" s="3" t="s">
        <v>29</v>
      </c>
      <c r="C525" s="3">
        <v>149.0</v>
      </c>
      <c r="D525" s="7">
        <v>0.0</v>
      </c>
      <c r="E525" s="3">
        <f t="shared" si="522"/>
        <v>0</v>
      </c>
      <c r="F525" s="7">
        <v>0.0</v>
      </c>
      <c r="G525" s="3">
        <f t="shared" si="523"/>
        <v>0</v>
      </c>
      <c r="H525" s="7">
        <v>0.0</v>
      </c>
      <c r="I525" s="3">
        <f t="shared" si="524"/>
        <v>0</v>
      </c>
      <c r="J525" s="3">
        <f t="shared" ref="J525:K525" si="541">D525+F525+H525</f>
        <v>0</v>
      </c>
      <c r="K525" s="3">
        <f t="shared" si="541"/>
        <v>0</v>
      </c>
      <c r="L525" s="6"/>
    </row>
    <row r="526" ht="15.75" customHeight="1">
      <c r="A526" s="3" t="s">
        <v>21</v>
      </c>
      <c r="B526" s="3" t="s">
        <v>30</v>
      </c>
      <c r="C526" s="3">
        <v>149.0</v>
      </c>
      <c r="D526" s="7">
        <v>0.0</v>
      </c>
      <c r="E526" s="3">
        <f t="shared" si="522"/>
        <v>0</v>
      </c>
      <c r="F526" s="7">
        <v>0.0</v>
      </c>
      <c r="G526" s="3">
        <f t="shared" si="523"/>
        <v>0</v>
      </c>
      <c r="H526" s="7">
        <v>0.0</v>
      </c>
      <c r="I526" s="3">
        <f t="shared" si="524"/>
        <v>0</v>
      </c>
      <c r="J526" s="3">
        <f t="shared" ref="J526:K526" si="542">D526+F526+H526</f>
        <v>0</v>
      </c>
      <c r="K526" s="3">
        <f t="shared" si="542"/>
        <v>0</v>
      </c>
      <c r="L526" s="6"/>
    </row>
    <row r="527" ht="15.75" customHeight="1">
      <c r="A527" s="3" t="s">
        <v>21</v>
      </c>
      <c r="B527" s="3" t="s">
        <v>31</v>
      </c>
      <c r="C527" s="3">
        <v>149.0</v>
      </c>
      <c r="D527" s="7">
        <v>0.0</v>
      </c>
      <c r="E527" s="3">
        <f t="shared" si="522"/>
        <v>0</v>
      </c>
      <c r="F527" s="7">
        <v>0.0</v>
      </c>
      <c r="G527" s="3">
        <f t="shared" si="523"/>
        <v>0</v>
      </c>
      <c r="H527" s="7">
        <v>0.0</v>
      </c>
      <c r="I527" s="3">
        <f t="shared" si="524"/>
        <v>0</v>
      </c>
      <c r="J527" s="3">
        <f t="shared" ref="J527:K527" si="543">D527+F527+H527</f>
        <v>0</v>
      </c>
      <c r="K527" s="3">
        <f t="shared" si="543"/>
        <v>0</v>
      </c>
      <c r="L527" s="6"/>
    </row>
    <row r="528" ht="15.75" customHeight="1">
      <c r="A528" s="3" t="s">
        <v>21</v>
      </c>
      <c r="B528" s="3" t="s">
        <v>32</v>
      </c>
      <c r="C528" s="3">
        <v>149.0</v>
      </c>
      <c r="D528" s="7">
        <v>0.0</v>
      </c>
      <c r="E528" s="3">
        <f t="shared" si="522"/>
        <v>0</v>
      </c>
      <c r="F528" s="7">
        <v>0.0</v>
      </c>
      <c r="G528" s="3">
        <f t="shared" si="523"/>
        <v>0</v>
      </c>
      <c r="H528" s="7">
        <v>0.0</v>
      </c>
      <c r="I528" s="3">
        <f t="shared" si="524"/>
        <v>0</v>
      </c>
      <c r="J528" s="3">
        <f t="shared" ref="J528:K528" si="544">D528+F528+H528</f>
        <v>0</v>
      </c>
      <c r="K528" s="3">
        <f t="shared" si="544"/>
        <v>0</v>
      </c>
      <c r="L528" s="6"/>
    </row>
    <row r="529" ht="15.75" customHeight="1">
      <c r="A529" s="3" t="s">
        <v>33</v>
      </c>
      <c r="B529" s="3" t="s">
        <v>34</v>
      </c>
      <c r="C529" s="3">
        <v>159.0</v>
      </c>
      <c r="D529" s="7">
        <v>0.0</v>
      </c>
      <c r="E529" s="3">
        <f t="shared" si="522"/>
        <v>0</v>
      </c>
      <c r="F529" s="7">
        <v>0.0</v>
      </c>
      <c r="G529" s="3">
        <f t="shared" si="523"/>
        <v>0</v>
      </c>
      <c r="H529" s="7">
        <v>0.0</v>
      </c>
      <c r="I529" s="3">
        <f t="shared" si="524"/>
        <v>0</v>
      </c>
      <c r="J529" s="3">
        <f t="shared" ref="J529:K529" si="545">D529+F529+H529</f>
        <v>0</v>
      </c>
      <c r="K529" s="3">
        <f t="shared" si="545"/>
        <v>0</v>
      </c>
      <c r="L529" s="6"/>
    </row>
    <row r="530" ht="15.75" customHeight="1">
      <c r="A530" s="3" t="s">
        <v>33</v>
      </c>
      <c r="B530" s="3" t="s">
        <v>35</v>
      </c>
      <c r="C530" s="3">
        <v>159.0</v>
      </c>
      <c r="D530" s="7">
        <v>0.0</v>
      </c>
      <c r="E530" s="3">
        <f t="shared" si="522"/>
        <v>0</v>
      </c>
      <c r="F530" s="7">
        <v>0.0</v>
      </c>
      <c r="G530" s="3">
        <f t="shared" si="523"/>
        <v>0</v>
      </c>
      <c r="H530" s="7">
        <v>0.0</v>
      </c>
      <c r="I530" s="3">
        <f t="shared" si="524"/>
        <v>0</v>
      </c>
      <c r="J530" s="3">
        <f t="shared" ref="J530:K530" si="546">D530+F530+H530</f>
        <v>0</v>
      </c>
      <c r="K530" s="3">
        <f t="shared" si="546"/>
        <v>0</v>
      </c>
      <c r="L530" s="6"/>
    </row>
    <row r="531" ht="15.75" customHeight="1">
      <c r="A531" s="3" t="s">
        <v>33</v>
      </c>
      <c r="B531" s="3" t="s">
        <v>36</v>
      </c>
      <c r="C531" s="3">
        <v>159.0</v>
      </c>
      <c r="D531" s="7">
        <v>0.0</v>
      </c>
      <c r="E531" s="3">
        <f t="shared" si="522"/>
        <v>0</v>
      </c>
      <c r="F531" s="7">
        <v>0.0</v>
      </c>
      <c r="G531" s="3">
        <f t="shared" si="523"/>
        <v>0</v>
      </c>
      <c r="H531" s="7">
        <v>0.0</v>
      </c>
      <c r="I531" s="3">
        <f t="shared" si="524"/>
        <v>0</v>
      </c>
      <c r="J531" s="3">
        <f t="shared" ref="J531:K531" si="547">D531+F531+H531</f>
        <v>0</v>
      </c>
      <c r="K531" s="3">
        <f t="shared" si="547"/>
        <v>0</v>
      </c>
      <c r="L531" s="6"/>
    </row>
    <row r="532" ht="15.75" customHeight="1">
      <c r="A532" s="3" t="s">
        <v>33</v>
      </c>
      <c r="B532" s="3" t="s">
        <v>37</v>
      </c>
      <c r="C532" s="3">
        <v>159.0</v>
      </c>
      <c r="D532" s="7">
        <v>0.0</v>
      </c>
      <c r="E532" s="3">
        <f t="shared" si="522"/>
        <v>0</v>
      </c>
      <c r="F532" s="7">
        <v>0.0</v>
      </c>
      <c r="G532" s="3">
        <f t="shared" si="523"/>
        <v>0</v>
      </c>
      <c r="H532" s="7">
        <v>0.0</v>
      </c>
      <c r="I532" s="3">
        <f t="shared" si="524"/>
        <v>0</v>
      </c>
      <c r="J532" s="3">
        <f t="shared" ref="J532:K532" si="548">D532+F532+H532</f>
        <v>0</v>
      </c>
      <c r="K532" s="3">
        <f t="shared" si="548"/>
        <v>0</v>
      </c>
      <c r="L532" s="6"/>
    </row>
    <row r="533" ht="15.75" customHeight="1">
      <c r="A533" s="3" t="s">
        <v>38</v>
      </c>
      <c r="B533" s="3" t="s">
        <v>31</v>
      </c>
      <c r="C533" s="3">
        <v>99.0</v>
      </c>
      <c r="D533" s="7">
        <v>0.0</v>
      </c>
      <c r="E533" s="3">
        <f t="shared" si="522"/>
        <v>0</v>
      </c>
      <c r="F533" s="7">
        <v>0.0</v>
      </c>
      <c r="G533" s="3">
        <f t="shared" si="523"/>
        <v>0</v>
      </c>
      <c r="H533" s="7">
        <v>0.0</v>
      </c>
      <c r="I533" s="3">
        <f t="shared" si="524"/>
        <v>0</v>
      </c>
      <c r="J533" s="3">
        <f t="shared" ref="J533:K533" si="549">D533+F533+H533</f>
        <v>0</v>
      </c>
      <c r="K533" s="3">
        <f t="shared" si="549"/>
        <v>0</v>
      </c>
      <c r="L533" s="6"/>
    </row>
    <row r="534" ht="15.75" customHeight="1">
      <c r="A534" s="3" t="s">
        <v>38</v>
      </c>
      <c r="B534" s="3" t="s">
        <v>24</v>
      </c>
      <c r="C534" s="3">
        <v>99.0</v>
      </c>
      <c r="D534" s="7">
        <v>0.0</v>
      </c>
      <c r="E534" s="3">
        <f t="shared" si="522"/>
        <v>0</v>
      </c>
      <c r="F534" s="7">
        <v>0.0</v>
      </c>
      <c r="G534" s="3">
        <f t="shared" si="523"/>
        <v>0</v>
      </c>
      <c r="H534" s="7">
        <v>0.0</v>
      </c>
      <c r="I534" s="3">
        <f t="shared" si="524"/>
        <v>0</v>
      </c>
      <c r="J534" s="3">
        <f t="shared" ref="J534:K534" si="550">D534+F534+H534</f>
        <v>0</v>
      </c>
      <c r="K534" s="3">
        <f t="shared" si="550"/>
        <v>0</v>
      </c>
      <c r="L534" s="6"/>
    </row>
    <row r="535" ht="15.75" customHeight="1">
      <c r="A535" s="3" t="s">
        <v>38</v>
      </c>
      <c r="B535" s="3" t="s">
        <v>39</v>
      </c>
      <c r="C535" s="3">
        <v>99.0</v>
      </c>
      <c r="D535" s="7">
        <v>0.0</v>
      </c>
      <c r="E535" s="3">
        <f t="shared" si="522"/>
        <v>0</v>
      </c>
      <c r="F535" s="7">
        <v>0.0</v>
      </c>
      <c r="G535" s="3">
        <f t="shared" si="523"/>
        <v>0</v>
      </c>
      <c r="H535" s="7">
        <v>0.0</v>
      </c>
      <c r="I535" s="3">
        <f t="shared" si="524"/>
        <v>0</v>
      </c>
      <c r="J535" s="3">
        <f t="shared" ref="J535:K535" si="551">D535+F535+H535</f>
        <v>0</v>
      </c>
      <c r="K535" s="3">
        <f t="shared" si="551"/>
        <v>0</v>
      </c>
      <c r="L535" s="6"/>
    </row>
    <row r="536" ht="15.75" customHeight="1">
      <c r="A536" s="3" t="s">
        <v>38</v>
      </c>
      <c r="B536" s="3" t="s">
        <v>40</v>
      </c>
      <c r="C536" s="3">
        <v>99.0</v>
      </c>
      <c r="D536" s="7">
        <v>0.0</v>
      </c>
      <c r="E536" s="3">
        <f t="shared" si="522"/>
        <v>0</v>
      </c>
      <c r="F536" s="7">
        <v>0.0</v>
      </c>
      <c r="G536" s="3">
        <f t="shared" si="523"/>
        <v>0</v>
      </c>
      <c r="H536" s="7">
        <v>0.0</v>
      </c>
      <c r="I536" s="3">
        <f t="shared" si="524"/>
        <v>0</v>
      </c>
      <c r="J536" s="3">
        <f t="shared" ref="J536:K536" si="552">D536+F536+H536</f>
        <v>0</v>
      </c>
      <c r="K536" s="3">
        <f t="shared" si="552"/>
        <v>0</v>
      </c>
      <c r="L536" s="6"/>
    </row>
    <row r="537" ht="15.75" customHeight="1">
      <c r="A537" s="3" t="s">
        <v>38</v>
      </c>
      <c r="B537" s="3" t="s">
        <v>41</v>
      </c>
      <c r="C537" s="3">
        <v>99.0</v>
      </c>
      <c r="D537" s="7">
        <v>0.0</v>
      </c>
      <c r="E537" s="3">
        <f t="shared" si="522"/>
        <v>0</v>
      </c>
      <c r="F537" s="7">
        <v>0.0</v>
      </c>
      <c r="G537" s="3">
        <f t="shared" si="523"/>
        <v>0</v>
      </c>
      <c r="H537" s="7">
        <v>0.0</v>
      </c>
      <c r="I537" s="3">
        <f t="shared" si="524"/>
        <v>0</v>
      </c>
      <c r="J537" s="3">
        <f t="shared" ref="J537:K537" si="553">D537+F537+H537</f>
        <v>0</v>
      </c>
      <c r="K537" s="3">
        <f t="shared" si="553"/>
        <v>0</v>
      </c>
      <c r="L537" s="6"/>
    </row>
    <row r="538" ht="15.75" customHeight="1">
      <c r="A538" s="3" t="s">
        <v>42</v>
      </c>
      <c r="B538" s="3" t="s">
        <v>43</v>
      </c>
      <c r="C538" s="3">
        <v>149.0</v>
      </c>
      <c r="D538" s="7">
        <v>0.0</v>
      </c>
      <c r="E538" s="3">
        <f t="shared" si="522"/>
        <v>0</v>
      </c>
      <c r="F538" s="7">
        <v>0.0</v>
      </c>
      <c r="G538" s="3">
        <f t="shared" si="523"/>
        <v>0</v>
      </c>
      <c r="H538" s="7">
        <v>0.0</v>
      </c>
      <c r="I538" s="3">
        <f t="shared" si="524"/>
        <v>0</v>
      </c>
      <c r="J538" s="3">
        <f t="shared" ref="J538:K538" si="554">D538+F538+H538</f>
        <v>0</v>
      </c>
      <c r="K538" s="3">
        <f t="shared" si="554"/>
        <v>0</v>
      </c>
      <c r="L538" s="6"/>
    </row>
    <row r="539" ht="15.75" customHeight="1">
      <c r="A539" s="3" t="s">
        <v>42</v>
      </c>
      <c r="B539" s="3" t="s">
        <v>44</v>
      </c>
      <c r="C539" s="3">
        <v>149.0</v>
      </c>
      <c r="D539" s="7">
        <v>0.0</v>
      </c>
      <c r="E539" s="3">
        <f t="shared" si="522"/>
        <v>0</v>
      </c>
      <c r="F539" s="7">
        <v>0.0</v>
      </c>
      <c r="G539" s="3">
        <f t="shared" si="523"/>
        <v>0</v>
      </c>
      <c r="H539" s="7">
        <v>0.0</v>
      </c>
      <c r="I539" s="3">
        <f t="shared" si="524"/>
        <v>0</v>
      </c>
      <c r="J539" s="3">
        <f t="shared" ref="J539:K539" si="555">D539+F539+H539</f>
        <v>0</v>
      </c>
      <c r="K539" s="3">
        <f t="shared" si="555"/>
        <v>0</v>
      </c>
      <c r="L539" s="6"/>
    </row>
    <row r="540" ht="15.75" customHeight="1">
      <c r="A540" s="3" t="s">
        <v>42</v>
      </c>
      <c r="B540" s="3" t="s">
        <v>45</v>
      </c>
      <c r="C540" s="3">
        <v>149.0</v>
      </c>
      <c r="D540" s="7">
        <v>0.0</v>
      </c>
      <c r="E540" s="3">
        <f t="shared" si="522"/>
        <v>0</v>
      </c>
      <c r="F540" s="7">
        <v>0.0</v>
      </c>
      <c r="G540" s="3">
        <f t="shared" si="523"/>
        <v>0</v>
      </c>
      <c r="H540" s="7">
        <v>0.0</v>
      </c>
      <c r="I540" s="3">
        <f t="shared" si="524"/>
        <v>0</v>
      </c>
      <c r="J540" s="3">
        <f t="shared" ref="J540:K540" si="556">D540+F540+H540</f>
        <v>0</v>
      </c>
      <c r="K540" s="3">
        <f t="shared" si="556"/>
        <v>0</v>
      </c>
      <c r="L540" s="6"/>
    </row>
    <row r="541" ht="15.75" customHeight="1">
      <c r="A541" s="3" t="s">
        <v>42</v>
      </c>
      <c r="B541" s="3" t="s">
        <v>46</v>
      </c>
      <c r="C541" s="3">
        <v>149.0</v>
      </c>
      <c r="D541" s="7">
        <v>0.0</v>
      </c>
      <c r="E541" s="3">
        <f t="shared" si="522"/>
        <v>0</v>
      </c>
      <c r="F541" s="7">
        <v>0.0</v>
      </c>
      <c r="G541" s="3">
        <f t="shared" si="523"/>
        <v>0</v>
      </c>
      <c r="H541" s="7">
        <v>0.0</v>
      </c>
      <c r="I541" s="3">
        <f t="shared" si="524"/>
        <v>0</v>
      </c>
      <c r="J541" s="3">
        <f t="shared" ref="J541:K541" si="557">D541+F541+H541</f>
        <v>0</v>
      </c>
      <c r="K541" s="3">
        <f t="shared" si="557"/>
        <v>0</v>
      </c>
      <c r="L541" s="6"/>
    </row>
    <row r="542" ht="15.75" customHeight="1">
      <c r="A542" s="3" t="s">
        <v>47</v>
      </c>
      <c r="B542" s="3" t="s">
        <v>48</v>
      </c>
      <c r="C542" s="3">
        <v>25.0</v>
      </c>
      <c r="D542" s="7">
        <v>0.0</v>
      </c>
      <c r="E542" s="3">
        <f t="shared" si="522"/>
        <v>0</v>
      </c>
      <c r="F542" s="7">
        <v>0.0</v>
      </c>
      <c r="G542" s="3">
        <f t="shared" si="523"/>
        <v>0</v>
      </c>
      <c r="H542" s="7">
        <v>0.0</v>
      </c>
      <c r="I542" s="3">
        <f t="shared" si="524"/>
        <v>0</v>
      </c>
      <c r="J542" s="3">
        <f t="shared" ref="J542:K542" si="558">D542+F542+H542</f>
        <v>0</v>
      </c>
      <c r="K542" s="3">
        <f t="shared" si="558"/>
        <v>0</v>
      </c>
      <c r="L542" s="6"/>
    </row>
    <row r="543" ht="15.75" customHeight="1">
      <c r="A543" s="3" t="s">
        <v>47</v>
      </c>
      <c r="B543" s="3" t="s">
        <v>49</v>
      </c>
      <c r="C543" s="3">
        <v>20.0</v>
      </c>
      <c r="D543" s="7">
        <v>0.0</v>
      </c>
      <c r="E543" s="3">
        <f t="shared" si="522"/>
        <v>0</v>
      </c>
      <c r="F543" s="7">
        <v>0.0</v>
      </c>
      <c r="G543" s="3">
        <f t="shared" si="523"/>
        <v>0</v>
      </c>
      <c r="H543" s="7">
        <v>0.0</v>
      </c>
      <c r="I543" s="3">
        <f t="shared" si="524"/>
        <v>0</v>
      </c>
      <c r="J543" s="3">
        <f t="shared" ref="J543:K543" si="559">D543+F543+H543</f>
        <v>0</v>
      </c>
      <c r="K543" s="3">
        <f t="shared" si="559"/>
        <v>0</v>
      </c>
      <c r="L543" s="6"/>
    </row>
    <row r="544" ht="15.75" customHeight="1">
      <c r="A544" s="3" t="s">
        <v>47</v>
      </c>
      <c r="B544" s="3" t="s">
        <v>50</v>
      </c>
      <c r="C544" s="3">
        <v>20.0</v>
      </c>
      <c r="D544" s="7">
        <v>0.0</v>
      </c>
      <c r="E544" s="3">
        <f t="shared" si="522"/>
        <v>0</v>
      </c>
      <c r="F544" s="7">
        <v>0.0</v>
      </c>
      <c r="G544" s="3">
        <f t="shared" si="523"/>
        <v>0</v>
      </c>
      <c r="H544" s="7">
        <v>0.0</v>
      </c>
      <c r="I544" s="3">
        <f t="shared" si="524"/>
        <v>0</v>
      </c>
      <c r="J544" s="3">
        <f t="shared" ref="J544:K544" si="560">D544+F544+H544</f>
        <v>0</v>
      </c>
      <c r="K544" s="3">
        <f t="shared" si="560"/>
        <v>0</v>
      </c>
      <c r="L544" s="6"/>
    </row>
    <row r="545" ht="15.75" customHeight="1">
      <c r="A545" s="3" t="s">
        <v>47</v>
      </c>
      <c r="B545" s="3" t="s">
        <v>51</v>
      </c>
      <c r="C545" s="3">
        <v>20.0</v>
      </c>
      <c r="D545" s="7">
        <v>0.0</v>
      </c>
      <c r="E545" s="3">
        <f t="shared" si="522"/>
        <v>0</v>
      </c>
      <c r="F545" s="7">
        <v>0.0</v>
      </c>
      <c r="G545" s="3">
        <f t="shared" si="523"/>
        <v>0</v>
      </c>
      <c r="H545" s="7">
        <v>0.0</v>
      </c>
      <c r="I545" s="3">
        <f t="shared" si="524"/>
        <v>0</v>
      </c>
      <c r="J545" s="3">
        <f t="shared" ref="J545:K545" si="561">D545+F545+H545</f>
        <v>0</v>
      </c>
      <c r="K545" s="3">
        <f t="shared" si="561"/>
        <v>0</v>
      </c>
      <c r="L545" s="6"/>
    </row>
    <row r="546" ht="15.75" customHeight="1">
      <c r="A546" s="3" t="s">
        <v>47</v>
      </c>
      <c r="B546" s="3" t="s">
        <v>52</v>
      </c>
      <c r="C546" s="3">
        <v>25.0</v>
      </c>
      <c r="D546" s="7">
        <v>0.0</v>
      </c>
      <c r="E546" s="3">
        <f t="shared" si="522"/>
        <v>0</v>
      </c>
      <c r="F546" s="7">
        <v>0.0</v>
      </c>
      <c r="G546" s="3">
        <f t="shared" si="523"/>
        <v>0</v>
      </c>
      <c r="H546" s="7">
        <v>0.0</v>
      </c>
      <c r="I546" s="3">
        <f t="shared" si="524"/>
        <v>0</v>
      </c>
      <c r="J546" s="3">
        <f t="shared" ref="J546:K546" si="562">D546+F546+H546</f>
        <v>0</v>
      </c>
      <c r="K546" s="3">
        <f t="shared" si="562"/>
        <v>0</v>
      </c>
      <c r="L546" s="6"/>
    </row>
    <row r="547" ht="15.75" customHeight="1">
      <c r="A547" s="3" t="s">
        <v>47</v>
      </c>
      <c r="B547" s="3" t="s">
        <v>53</v>
      </c>
      <c r="C547" s="3">
        <v>20.0</v>
      </c>
      <c r="D547" s="7">
        <v>0.0</v>
      </c>
      <c r="E547" s="3">
        <f t="shared" si="522"/>
        <v>0</v>
      </c>
      <c r="F547" s="7">
        <v>0.0</v>
      </c>
      <c r="G547" s="3">
        <f t="shared" si="523"/>
        <v>0</v>
      </c>
      <c r="H547" s="7">
        <v>0.0</v>
      </c>
      <c r="I547" s="3">
        <f t="shared" si="524"/>
        <v>0</v>
      </c>
      <c r="J547" s="3">
        <f t="shared" ref="J547:K547" si="563">D547+F547+H547</f>
        <v>0</v>
      </c>
      <c r="K547" s="3">
        <f t="shared" si="563"/>
        <v>0</v>
      </c>
      <c r="L547" s="6"/>
    </row>
    <row r="548" ht="15.75" customHeight="1">
      <c r="A548" s="3" t="s">
        <v>54</v>
      </c>
      <c r="B548" s="3" t="s">
        <v>55</v>
      </c>
      <c r="C548" s="3">
        <v>149.0</v>
      </c>
      <c r="D548" s="7">
        <v>0.0</v>
      </c>
      <c r="E548" s="3">
        <f t="shared" si="522"/>
        <v>0</v>
      </c>
      <c r="F548" s="7">
        <v>0.0</v>
      </c>
      <c r="G548" s="3">
        <f t="shared" si="523"/>
        <v>0</v>
      </c>
      <c r="H548" s="7">
        <v>0.0</v>
      </c>
      <c r="I548" s="3">
        <f t="shared" si="524"/>
        <v>0</v>
      </c>
      <c r="J548" s="3">
        <f t="shared" ref="J548:K548" si="564">D548+F548+H548</f>
        <v>0</v>
      </c>
      <c r="K548" s="3">
        <f t="shared" si="564"/>
        <v>0</v>
      </c>
      <c r="L548" s="6"/>
    </row>
    <row r="549" ht="15.75" customHeight="1">
      <c r="A549" s="3" t="s">
        <v>54</v>
      </c>
      <c r="B549" s="3" t="s">
        <v>56</v>
      </c>
      <c r="C549" s="3">
        <v>149.0</v>
      </c>
      <c r="D549" s="7">
        <v>0.0</v>
      </c>
      <c r="E549" s="3">
        <f t="shared" si="522"/>
        <v>0</v>
      </c>
      <c r="F549" s="7">
        <v>0.0</v>
      </c>
      <c r="G549" s="3">
        <f t="shared" si="523"/>
        <v>0</v>
      </c>
      <c r="H549" s="7">
        <v>0.0</v>
      </c>
      <c r="I549" s="3">
        <f t="shared" si="524"/>
        <v>0</v>
      </c>
      <c r="J549" s="3">
        <f t="shared" ref="J549:K549" si="565">D549+F549+H549</f>
        <v>0</v>
      </c>
      <c r="K549" s="3">
        <f t="shared" si="565"/>
        <v>0</v>
      </c>
      <c r="L549" s="6"/>
    </row>
    <row r="550" ht="15.75" customHeight="1">
      <c r="A550" s="3" t="s">
        <v>54</v>
      </c>
      <c r="B550" s="3" t="s">
        <v>57</v>
      </c>
      <c r="C550" s="3">
        <v>149.0</v>
      </c>
      <c r="D550" s="7">
        <v>0.0</v>
      </c>
      <c r="E550" s="3">
        <f t="shared" si="522"/>
        <v>0</v>
      </c>
      <c r="F550" s="7">
        <v>0.0</v>
      </c>
      <c r="G550" s="3">
        <f t="shared" si="523"/>
        <v>0</v>
      </c>
      <c r="H550" s="7">
        <v>0.0</v>
      </c>
      <c r="I550" s="3">
        <f t="shared" si="524"/>
        <v>0</v>
      </c>
      <c r="J550" s="3">
        <f t="shared" ref="J550:K550" si="566">D550+F550+H550</f>
        <v>0</v>
      </c>
      <c r="K550" s="3">
        <f t="shared" si="566"/>
        <v>0</v>
      </c>
      <c r="L550" s="6"/>
    </row>
    <row r="551" ht="15.75" customHeight="1">
      <c r="A551" s="13" t="s">
        <v>58</v>
      </c>
      <c r="B551" s="14"/>
      <c r="C551" s="14"/>
      <c r="D551" s="14"/>
      <c r="E551" s="13">
        <f>SUM(E508:E550)</f>
        <v>0</v>
      </c>
      <c r="F551" s="14"/>
      <c r="G551" s="13">
        <f>SUM(G508:G550)</f>
        <v>0</v>
      </c>
      <c r="H551" s="14"/>
      <c r="I551" s="13">
        <f t="shared" ref="I551:K551" si="567">SUM(I508:I550)</f>
        <v>0</v>
      </c>
      <c r="J551" s="13">
        <f t="shared" si="567"/>
        <v>0</v>
      </c>
      <c r="K551" s="13">
        <f t="shared" si="567"/>
        <v>0</v>
      </c>
      <c r="L551" s="15">
        <v>46012.0</v>
      </c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18" t="s">
        <v>0</v>
      </c>
      <c r="B553" s="18" t="s">
        <v>1</v>
      </c>
      <c r="C553" s="18" t="s">
        <v>2</v>
      </c>
      <c r="D553" s="19" t="s">
        <v>3</v>
      </c>
      <c r="E553" s="18" t="s">
        <v>4</v>
      </c>
      <c r="F553" s="19" t="s">
        <v>5</v>
      </c>
      <c r="G553" s="18" t="s">
        <v>6</v>
      </c>
      <c r="H553" s="19" t="s">
        <v>7</v>
      </c>
      <c r="I553" s="18" t="s">
        <v>8</v>
      </c>
      <c r="J553" s="18" t="s">
        <v>9</v>
      </c>
      <c r="K553" s="18" t="s">
        <v>10</v>
      </c>
      <c r="L553" s="20" t="s">
        <v>11</v>
      </c>
    </row>
    <row r="554" ht="15.75" customHeight="1">
      <c r="A554" s="20" t="s">
        <v>12</v>
      </c>
      <c r="B554" s="20" t="s">
        <v>13</v>
      </c>
      <c r="C554" s="21">
        <v>189.0</v>
      </c>
      <c r="D554" s="22">
        <v>0.0</v>
      </c>
      <c r="E554" s="21">
        <f t="shared" ref="E554:E596" si="569">C554*D554</f>
        <v>0</v>
      </c>
      <c r="F554" s="22">
        <v>0.0</v>
      </c>
      <c r="G554" s="21">
        <f t="shared" ref="G554:G596" si="570">C554*F554</f>
        <v>0</v>
      </c>
      <c r="H554" s="22">
        <v>0.0</v>
      </c>
      <c r="I554" s="21">
        <f t="shared" ref="I554:I596" si="571">C554*H554</f>
        <v>0</v>
      </c>
      <c r="J554" s="21">
        <f t="shared" ref="J554:K554" si="568">D554+F554+H554</f>
        <v>0</v>
      </c>
      <c r="K554" s="21">
        <f t="shared" si="568"/>
        <v>0</v>
      </c>
      <c r="L554" s="23"/>
    </row>
    <row r="555" ht="15.75" customHeight="1">
      <c r="A555" s="20" t="s">
        <v>12</v>
      </c>
      <c r="B555" s="20" t="s">
        <v>14</v>
      </c>
      <c r="C555" s="21">
        <v>189.0</v>
      </c>
      <c r="D555" s="22">
        <v>0.0</v>
      </c>
      <c r="E555" s="21">
        <f t="shared" si="569"/>
        <v>0</v>
      </c>
      <c r="F555" s="22">
        <v>0.0</v>
      </c>
      <c r="G555" s="21">
        <f t="shared" si="570"/>
        <v>0</v>
      </c>
      <c r="H555" s="22">
        <v>0.0</v>
      </c>
      <c r="I555" s="21">
        <f t="shared" si="571"/>
        <v>0</v>
      </c>
      <c r="J555" s="21">
        <f t="shared" ref="J555:K555" si="572">D555+F555+H555</f>
        <v>0</v>
      </c>
      <c r="K555" s="21">
        <f t="shared" si="572"/>
        <v>0</v>
      </c>
      <c r="L555" s="23"/>
    </row>
    <row r="556" ht="15.75" customHeight="1">
      <c r="A556" s="20" t="s">
        <v>12</v>
      </c>
      <c r="B556" s="20" t="s">
        <v>15</v>
      </c>
      <c r="C556" s="21">
        <v>189.0</v>
      </c>
      <c r="D556" s="22">
        <v>0.0</v>
      </c>
      <c r="E556" s="21">
        <f t="shared" si="569"/>
        <v>0</v>
      </c>
      <c r="F556" s="24">
        <v>1.0</v>
      </c>
      <c r="G556" s="21">
        <f t="shared" si="570"/>
        <v>189</v>
      </c>
      <c r="H556" s="22">
        <v>0.0</v>
      </c>
      <c r="I556" s="21">
        <f t="shared" si="571"/>
        <v>0</v>
      </c>
      <c r="J556" s="21">
        <f t="shared" ref="J556:K556" si="573">D556+F556+H556</f>
        <v>1</v>
      </c>
      <c r="K556" s="21">
        <f t="shared" si="573"/>
        <v>189</v>
      </c>
      <c r="L556" s="23"/>
    </row>
    <row r="557" ht="15.75" customHeight="1">
      <c r="A557" s="20" t="s">
        <v>12</v>
      </c>
      <c r="B557" s="20" t="s">
        <v>16</v>
      </c>
      <c r="C557" s="21">
        <v>189.0</v>
      </c>
      <c r="D557" s="22">
        <v>0.0</v>
      </c>
      <c r="E557" s="21">
        <f t="shared" si="569"/>
        <v>0</v>
      </c>
      <c r="F557" s="22">
        <v>0.0</v>
      </c>
      <c r="G557" s="21">
        <f t="shared" si="570"/>
        <v>0</v>
      </c>
      <c r="H557" s="22">
        <v>0.0</v>
      </c>
      <c r="I557" s="21">
        <f t="shared" si="571"/>
        <v>0</v>
      </c>
      <c r="J557" s="21">
        <f t="shared" ref="J557:K557" si="574">D557+F557+H557</f>
        <v>0</v>
      </c>
      <c r="K557" s="21">
        <f t="shared" si="574"/>
        <v>0</v>
      </c>
      <c r="L557" s="23"/>
    </row>
    <row r="558" ht="15.75" customHeight="1">
      <c r="A558" s="20" t="s">
        <v>12</v>
      </c>
      <c r="B558" s="20" t="s">
        <v>17</v>
      </c>
      <c r="C558" s="21">
        <v>189.0</v>
      </c>
      <c r="D558" s="24">
        <v>1.0</v>
      </c>
      <c r="E558" s="21">
        <f t="shared" si="569"/>
        <v>189</v>
      </c>
      <c r="F558" s="22">
        <v>0.0</v>
      </c>
      <c r="G558" s="21">
        <f t="shared" si="570"/>
        <v>0</v>
      </c>
      <c r="H558" s="22">
        <v>0.0</v>
      </c>
      <c r="I558" s="21">
        <f t="shared" si="571"/>
        <v>0</v>
      </c>
      <c r="J558" s="21">
        <f t="shared" ref="J558:K558" si="575">D558+F558+H558</f>
        <v>1</v>
      </c>
      <c r="K558" s="21">
        <f t="shared" si="575"/>
        <v>189</v>
      </c>
      <c r="L558" s="23"/>
    </row>
    <row r="559" ht="15.75" customHeight="1">
      <c r="A559" s="20" t="s">
        <v>12</v>
      </c>
      <c r="B559" s="20" t="s">
        <v>18</v>
      </c>
      <c r="C559" s="21">
        <v>189.0</v>
      </c>
      <c r="D559" s="22">
        <v>0.0</v>
      </c>
      <c r="E559" s="21">
        <f t="shared" si="569"/>
        <v>0</v>
      </c>
      <c r="F559" s="22">
        <v>0.0</v>
      </c>
      <c r="G559" s="21">
        <f t="shared" si="570"/>
        <v>0</v>
      </c>
      <c r="H559" s="22">
        <v>0.0</v>
      </c>
      <c r="I559" s="21">
        <f t="shared" si="571"/>
        <v>0</v>
      </c>
      <c r="J559" s="21">
        <f t="shared" ref="J559:K559" si="576">D559+F559+H559</f>
        <v>0</v>
      </c>
      <c r="K559" s="21">
        <f t="shared" si="576"/>
        <v>0</v>
      </c>
      <c r="L559" s="23"/>
    </row>
    <row r="560" ht="15.75" customHeight="1">
      <c r="A560" s="20" t="s">
        <v>12</v>
      </c>
      <c r="B560" s="20" t="s">
        <v>19</v>
      </c>
      <c r="C560" s="21">
        <v>189.0</v>
      </c>
      <c r="D560" s="22">
        <v>0.0</v>
      </c>
      <c r="E560" s="21">
        <f t="shared" si="569"/>
        <v>0</v>
      </c>
      <c r="F560" s="22">
        <v>0.0</v>
      </c>
      <c r="G560" s="21">
        <f t="shared" si="570"/>
        <v>0</v>
      </c>
      <c r="H560" s="22">
        <v>0.0</v>
      </c>
      <c r="I560" s="21">
        <f t="shared" si="571"/>
        <v>0</v>
      </c>
      <c r="J560" s="21">
        <f t="shared" ref="J560:K560" si="577">D560+F560+H560</f>
        <v>0</v>
      </c>
      <c r="K560" s="21">
        <f t="shared" si="577"/>
        <v>0</v>
      </c>
      <c r="L560" s="23"/>
    </row>
    <row r="561" ht="15.75" customHeight="1">
      <c r="A561" s="20" t="s">
        <v>12</v>
      </c>
      <c r="B561" s="20" t="s">
        <v>20</v>
      </c>
      <c r="C561" s="21">
        <v>189.0</v>
      </c>
      <c r="D561" s="24">
        <v>1.0</v>
      </c>
      <c r="E561" s="21">
        <f t="shared" si="569"/>
        <v>189</v>
      </c>
      <c r="F561" s="22">
        <v>0.0</v>
      </c>
      <c r="G561" s="21">
        <f t="shared" si="570"/>
        <v>0</v>
      </c>
      <c r="H561" s="22">
        <v>0.0</v>
      </c>
      <c r="I561" s="21">
        <f t="shared" si="571"/>
        <v>0</v>
      </c>
      <c r="J561" s="21">
        <f t="shared" ref="J561:K561" si="578">D561+F561+H561</f>
        <v>1</v>
      </c>
      <c r="K561" s="21">
        <f t="shared" si="578"/>
        <v>189</v>
      </c>
      <c r="L561" s="23"/>
    </row>
    <row r="562" ht="15.75" customHeight="1">
      <c r="A562" s="20" t="s">
        <v>21</v>
      </c>
      <c r="B562" s="20" t="s">
        <v>20</v>
      </c>
      <c r="C562" s="21">
        <v>149.0</v>
      </c>
      <c r="D562" s="24">
        <v>3.0</v>
      </c>
      <c r="E562" s="21">
        <f t="shared" si="569"/>
        <v>447</v>
      </c>
      <c r="F562" s="22">
        <v>0.0</v>
      </c>
      <c r="G562" s="21">
        <f t="shared" si="570"/>
        <v>0</v>
      </c>
      <c r="H562" s="22">
        <v>0.0</v>
      </c>
      <c r="I562" s="21">
        <f t="shared" si="571"/>
        <v>0</v>
      </c>
      <c r="J562" s="21">
        <f t="shared" ref="J562:K562" si="579">D562+F562+H562</f>
        <v>3</v>
      </c>
      <c r="K562" s="21">
        <f t="shared" si="579"/>
        <v>447</v>
      </c>
      <c r="L562" s="23"/>
    </row>
    <row r="563" ht="15.75" customHeight="1">
      <c r="A563" s="20" t="s">
        <v>21</v>
      </c>
      <c r="B563" s="20" t="s">
        <v>22</v>
      </c>
      <c r="C563" s="21">
        <v>149.0</v>
      </c>
      <c r="D563" s="22">
        <v>0.0</v>
      </c>
      <c r="E563" s="21">
        <f t="shared" si="569"/>
        <v>0</v>
      </c>
      <c r="F563" s="22">
        <v>0.0</v>
      </c>
      <c r="G563" s="21">
        <f t="shared" si="570"/>
        <v>0</v>
      </c>
      <c r="H563" s="22">
        <v>0.0</v>
      </c>
      <c r="I563" s="21">
        <f t="shared" si="571"/>
        <v>0</v>
      </c>
      <c r="J563" s="21">
        <f t="shared" ref="J563:K563" si="580">D563+F563+H563</f>
        <v>0</v>
      </c>
      <c r="K563" s="21">
        <f t="shared" si="580"/>
        <v>0</v>
      </c>
      <c r="L563" s="23"/>
    </row>
    <row r="564" ht="15.75" customHeight="1">
      <c r="A564" s="20" t="s">
        <v>21</v>
      </c>
      <c r="B564" s="20" t="s">
        <v>23</v>
      </c>
      <c r="C564" s="21">
        <v>149.0</v>
      </c>
      <c r="D564" s="22">
        <v>0.0</v>
      </c>
      <c r="E564" s="21">
        <f t="shared" si="569"/>
        <v>0</v>
      </c>
      <c r="F564" s="22">
        <v>0.0</v>
      </c>
      <c r="G564" s="21">
        <f t="shared" si="570"/>
        <v>0</v>
      </c>
      <c r="H564" s="22">
        <v>0.0</v>
      </c>
      <c r="I564" s="21">
        <f t="shared" si="571"/>
        <v>0</v>
      </c>
      <c r="J564" s="21">
        <f t="shared" ref="J564:K564" si="581">D564+F564+H564</f>
        <v>0</v>
      </c>
      <c r="K564" s="21">
        <f t="shared" si="581"/>
        <v>0</v>
      </c>
      <c r="L564" s="23"/>
    </row>
    <row r="565" ht="15.75" customHeight="1">
      <c r="A565" s="20" t="s">
        <v>21</v>
      </c>
      <c r="B565" s="20" t="s">
        <v>14</v>
      </c>
      <c r="C565" s="21">
        <v>149.0</v>
      </c>
      <c r="D565" s="24">
        <v>1.0</v>
      </c>
      <c r="E565" s="21">
        <f t="shared" si="569"/>
        <v>149</v>
      </c>
      <c r="F565" s="22">
        <v>0.0</v>
      </c>
      <c r="G565" s="21">
        <f t="shared" si="570"/>
        <v>0</v>
      </c>
      <c r="H565" s="22">
        <v>0.0</v>
      </c>
      <c r="I565" s="21">
        <f t="shared" si="571"/>
        <v>0</v>
      </c>
      <c r="J565" s="21">
        <f t="shared" ref="J565:K565" si="582">D565+F565+H565</f>
        <v>1</v>
      </c>
      <c r="K565" s="21">
        <f t="shared" si="582"/>
        <v>149</v>
      </c>
      <c r="L565" s="23"/>
    </row>
    <row r="566" ht="15.75" customHeight="1">
      <c r="A566" s="20" t="s">
        <v>21</v>
      </c>
      <c r="B566" s="20" t="s">
        <v>24</v>
      </c>
      <c r="C566" s="21">
        <v>149.0</v>
      </c>
      <c r="D566" s="24">
        <v>1.0</v>
      </c>
      <c r="E566" s="21">
        <f t="shared" si="569"/>
        <v>149</v>
      </c>
      <c r="F566" s="22">
        <v>0.0</v>
      </c>
      <c r="G566" s="21">
        <f t="shared" si="570"/>
        <v>0</v>
      </c>
      <c r="H566" s="22">
        <v>0.0</v>
      </c>
      <c r="I566" s="21">
        <f t="shared" si="571"/>
        <v>0</v>
      </c>
      <c r="J566" s="21">
        <f t="shared" ref="J566:K566" si="583">D566+F566+H566</f>
        <v>1</v>
      </c>
      <c r="K566" s="21">
        <f t="shared" si="583"/>
        <v>149</v>
      </c>
      <c r="L566" s="23"/>
    </row>
    <row r="567" ht="15.75" customHeight="1">
      <c r="A567" s="20" t="s">
        <v>21</v>
      </c>
      <c r="B567" s="20" t="s">
        <v>25</v>
      </c>
      <c r="C567" s="21">
        <v>149.0</v>
      </c>
      <c r="D567" s="22">
        <v>0.0</v>
      </c>
      <c r="E567" s="21">
        <f t="shared" si="569"/>
        <v>0</v>
      </c>
      <c r="F567" s="22">
        <v>0.0</v>
      </c>
      <c r="G567" s="21">
        <f t="shared" si="570"/>
        <v>0</v>
      </c>
      <c r="H567" s="22">
        <v>0.0</v>
      </c>
      <c r="I567" s="21">
        <f t="shared" si="571"/>
        <v>0</v>
      </c>
      <c r="J567" s="21">
        <f t="shared" ref="J567:K567" si="584">D567+F567+H567</f>
        <v>0</v>
      </c>
      <c r="K567" s="21">
        <f t="shared" si="584"/>
        <v>0</v>
      </c>
      <c r="L567" s="23"/>
    </row>
    <row r="568" ht="15.75" customHeight="1">
      <c r="A568" s="20" t="s">
        <v>21</v>
      </c>
      <c r="B568" s="20" t="s">
        <v>26</v>
      </c>
      <c r="C568" s="21">
        <v>149.0</v>
      </c>
      <c r="D568" s="22">
        <v>0.0</v>
      </c>
      <c r="E568" s="21">
        <f t="shared" si="569"/>
        <v>0</v>
      </c>
      <c r="F568" s="22">
        <v>0.0</v>
      </c>
      <c r="G568" s="21">
        <f t="shared" si="570"/>
        <v>0</v>
      </c>
      <c r="H568" s="22">
        <v>0.0</v>
      </c>
      <c r="I568" s="21">
        <f t="shared" si="571"/>
        <v>0</v>
      </c>
      <c r="J568" s="21">
        <f t="shared" ref="J568:K568" si="585">D568+F568+H568</f>
        <v>0</v>
      </c>
      <c r="K568" s="21">
        <f t="shared" si="585"/>
        <v>0</v>
      </c>
      <c r="L568" s="23"/>
    </row>
    <row r="569" ht="15.75" customHeight="1">
      <c r="A569" s="20" t="s">
        <v>21</v>
      </c>
      <c r="B569" s="20" t="s">
        <v>27</v>
      </c>
      <c r="C569" s="21">
        <v>149.0</v>
      </c>
      <c r="D569" s="22">
        <v>0.0</v>
      </c>
      <c r="E569" s="21">
        <f t="shared" si="569"/>
        <v>0</v>
      </c>
      <c r="F569" s="22">
        <v>0.0</v>
      </c>
      <c r="G569" s="21">
        <f t="shared" si="570"/>
        <v>0</v>
      </c>
      <c r="H569" s="22">
        <v>0.0</v>
      </c>
      <c r="I569" s="21">
        <f t="shared" si="571"/>
        <v>0</v>
      </c>
      <c r="J569" s="21">
        <f t="shared" ref="J569:K569" si="586">D569+F569+H569</f>
        <v>0</v>
      </c>
      <c r="K569" s="21">
        <f t="shared" si="586"/>
        <v>0</v>
      </c>
      <c r="L569" s="23"/>
    </row>
    <row r="570" ht="15.75" customHeight="1">
      <c r="A570" s="20" t="s">
        <v>21</v>
      </c>
      <c r="B570" s="20" t="s">
        <v>28</v>
      </c>
      <c r="C570" s="21">
        <v>149.0</v>
      </c>
      <c r="D570" s="22">
        <v>0.0</v>
      </c>
      <c r="E570" s="21">
        <f t="shared" si="569"/>
        <v>0</v>
      </c>
      <c r="F570" s="22">
        <v>0.0</v>
      </c>
      <c r="G570" s="21">
        <f t="shared" si="570"/>
        <v>0</v>
      </c>
      <c r="H570" s="22">
        <v>0.0</v>
      </c>
      <c r="I570" s="21">
        <f t="shared" si="571"/>
        <v>0</v>
      </c>
      <c r="J570" s="21">
        <f t="shared" ref="J570:K570" si="587">D570+F570+H570</f>
        <v>0</v>
      </c>
      <c r="K570" s="21">
        <f t="shared" si="587"/>
        <v>0</v>
      </c>
      <c r="L570" s="23"/>
    </row>
    <row r="571" ht="15.75" customHeight="1">
      <c r="A571" s="20" t="s">
        <v>21</v>
      </c>
      <c r="B571" s="20" t="s">
        <v>29</v>
      </c>
      <c r="C571" s="21">
        <v>149.0</v>
      </c>
      <c r="D571" s="22">
        <v>0.0</v>
      </c>
      <c r="E571" s="21">
        <f t="shared" si="569"/>
        <v>0</v>
      </c>
      <c r="F571" s="24">
        <v>1.0</v>
      </c>
      <c r="G571" s="21">
        <f t="shared" si="570"/>
        <v>149</v>
      </c>
      <c r="H571" s="22">
        <v>0.0</v>
      </c>
      <c r="I571" s="21">
        <f t="shared" si="571"/>
        <v>0</v>
      </c>
      <c r="J571" s="21">
        <f t="shared" ref="J571:K571" si="588">D571+F571+H571</f>
        <v>1</v>
      </c>
      <c r="K571" s="21">
        <f t="shared" si="588"/>
        <v>149</v>
      </c>
      <c r="L571" s="23"/>
    </row>
    <row r="572" ht="15.75" customHeight="1">
      <c r="A572" s="20" t="s">
        <v>21</v>
      </c>
      <c r="B572" s="20" t="s">
        <v>30</v>
      </c>
      <c r="C572" s="21">
        <v>149.0</v>
      </c>
      <c r="D572" s="22">
        <v>0.0</v>
      </c>
      <c r="E572" s="21">
        <f t="shared" si="569"/>
        <v>0</v>
      </c>
      <c r="F572" s="22">
        <v>0.0</v>
      </c>
      <c r="G572" s="21">
        <f t="shared" si="570"/>
        <v>0</v>
      </c>
      <c r="H572" s="22">
        <v>0.0</v>
      </c>
      <c r="I572" s="21">
        <f t="shared" si="571"/>
        <v>0</v>
      </c>
      <c r="J572" s="21">
        <f t="shared" ref="J572:K572" si="589">D572+F572+H572</f>
        <v>0</v>
      </c>
      <c r="K572" s="21">
        <f t="shared" si="589"/>
        <v>0</v>
      </c>
      <c r="L572" s="23"/>
    </row>
    <row r="573" ht="15.75" customHeight="1">
      <c r="A573" s="20" t="s">
        <v>21</v>
      </c>
      <c r="B573" s="20" t="s">
        <v>31</v>
      </c>
      <c r="C573" s="21">
        <v>149.0</v>
      </c>
      <c r="D573" s="24">
        <v>1.0</v>
      </c>
      <c r="E573" s="21">
        <f t="shared" si="569"/>
        <v>149</v>
      </c>
      <c r="F573" s="22">
        <v>0.0</v>
      </c>
      <c r="G573" s="21">
        <f t="shared" si="570"/>
        <v>0</v>
      </c>
      <c r="H573" s="22">
        <v>0.0</v>
      </c>
      <c r="I573" s="21">
        <f t="shared" si="571"/>
        <v>0</v>
      </c>
      <c r="J573" s="21">
        <f t="shared" ref="J573:K573" si="590">D573+F573+H573</f>
        <v>1</v>
      </c>
      <c r="K573" s="21">
        <f t="shared" si="590"/>
        <v>149</v>
      </c>
      <c r="L573" s="23"/>
    </row>
    <row r="574" ht="15.75" customHeight="1">
      <c r="A574" s="20" t="s">
        <v>21</v>
      </c>
      <c r="B574" s="20" t="s">
        <v>32</v>
      </c>
      <c r="C574" s="21">
        <v>149.0</v>
      </c>
      <c r="D574" s="22">
        <v>0.0</v>
      </c>
      <c r="E574" s="21">
        <f t="shared" si="569"/>
        <v>0</v>
      </c>
      <c r="F574" s="22">
        <v>0.0</v>
      </c>
      <c r="G574" s="21">
        <f t="shared" si="570"/>
        <v>0</v>
      </c>
      <c r="H574" s="22">
        <v>0.0</v>
      </c>
      <c r="I574" s="21">
        <f t="shared" si="571"/>
        <v>0</v>
      </c>
      <c r="J574" s="21">
        <f t="shared" ref="J574:K574" si="591">D574+F574+H574</f>
        <v>0</v>
      </c>
      <c r="K574" s="21">
        <f t="shared" si="591"/>
        <v>0</v>
      </c>
      <c r="L574" s="23"/>
    </row>
    <row r="575" ht="15.75" customHeight="1">
      <c r="A575" s="20" t="s">
        <v>33</v>
      </c>
      <c r="B575" s="20" t="s">
        <v>34</v>
      </c>
      <c r="C575" s="21">
        <v>159.0</v>
      </c>
      <c r="D575" s="22">
        <v>0.0</v>
      </c>
      <c r="E575" s="21">
        <f t="shared" si="569"/>
        <v>0</v>
      </c>
      <c r="F575" s="22">
        <v>0.0</v>
      </c>
      <c r="G575" s="21">
        <f t="shared" si="570"/>
        <v>0</v>
      </c>
      <c r="H575" s="22">
        <v>0.0</v>
      </c>
      <c r="I575" s="21">
        <f t="shared" si="571"/>
        <v>0</v>
      </c>
      <c r="J575" s="21">
        <f t="shared" ref="J575:K575" si="592">D575+F575+H575</f>
        <v>0</v>
      </c>
      <c r="K575" s="21">
        <f t="shared" si="592"/>
        <v>0</v>
      </c>
      <c r="L575" s="23"/>
    </row>
    <row r="576" ht="15.75" customHeight="1">
      <c r="A576" s="20" t="s">
        <v>33</v>
      </c>
      <c r="B576" s="20" t="s">
        <v>35</v>
      </c>
      <c r="C576" s="21">
        <v>159.0</v>
      </c>
      <c r="D576" s="24">
        <v>1.0</v>
      </c>
      <c r="E576" s="21">
        <f t="shared" si="569"/>
        <v>159</v>
      </c>
      <c r="F576" s="22">
        <v>0.0</v>
      </c>
      <c r="G576" s="21">
        <f t="shared" si="570"/>
        <v>0</v>
      </c>
      <c r="H576" s="22">
        <v>0.0</v>
      </c>
      <c r="I576" s="21">
        <f t="shared" si="571"/>
        <v>0</v>
      </c>
      <c r="J576" s="21">
        <f t="shared" ref="J576:K576" si="593">D576+F576+H576</f>
        <v>1</v>
      </c>
      <c r="K576" s="21">
        <f t="shared" si="593"/>
        <v>159</v>
      </c>
      <c r="L576" s="23"/>
    </row>
    <row r="577" ht="15.75" customHeight="1">
      <c r="A577" s="20" t="s">
        <v>33</v>
      </c>
      <c r="B577" s="20" t="s">
        <v>36</v>
      </c>
      <c r="C577" s="21">
        <v>159.0</v>
      </c>
      <c r="D577" s="22">
        <v>0.0</v>
      </c>
      <c r="E577" s="21">
        <f t="shared" si="569"/>
        <v>0</v>
      </c>
      <c r="F577" s="24">
        <v>1.0</v>
      </c>
      <c r="G577" s="21">
        <f t="shared" si="570"/>
        <v>159</v>
      </c>
      <c r="H577" s="22">
        <v>0.0</v>
      </c>
      <c r="I577" s="21">
        <f t="shared" si="571"/>
        <v>0</v>
      </c>
      <c r="J577" s="21">
        <f t="shared" ref="J577:K577" si="594">D577+F577+H577</f>
        <v>1</v>
      </c>
      <c r="K577" s="21">
        <f t="shared" si="594"/>
        <v>159</v>
      </c>
      <c r="L577" s="23"/>
    </row>
    <row r="578" ht="15.75" customHeight="1">
      <c r="A578" s="20" t="s">
        <v>33</v>
      </c>
      <c r="B578" s="20" t="s">
        <v>37</v>
      </c>
      <c r="C578" s="21">
        <v>159.0</v>
      </c>
      <c r="D578" s="22">
        <v>0.0</v>
      </c>
      <c r="E578" s="21">
        <f t="shared" si="569"/>
        <v>0</v>
      </c>
      <c r="F578" s="22">
        <v>0.0</v>
      </c>
      <c r="G578" s="21">
        <f t="shared" si="570"/>
        <v>0</v>
      </c>
      <c r="H578" s="22">
        <v>0.0</v>
      </c>
      <c r="I578" s="21">
        <f t="shared" si="571"/>
        <v>0</v>
      </c>
      <c r="J578" s="21">
        <f t="shared" ref="J578:K578" si="595">D578+F578+H578</f>
        <v>0</v>
      </c>
      <c r="K578" s="21">
        <f t="shared" si="595"/>
        <v>0</v>
      </c>
      <c r="L578" s="23"/>
    </row>
    <row r="579" ht="15.75" customHeight="1">
      <c r="A579" s="20" t="s">
        <v>38</v>
      </c>
      <c r="B579" s="20" t="s">
        <v>31</v>
      </c>
      <c r="C579" s="21">
        <v>99.0</v>
      </c>
      <c r="D579" s="22">
        <v>0.0</v>
      </c>
      <c r="E579" s="21">
        <f t="shared" si="569"/>
        <v>0</v>
      </c>
      <c r="F579" s="22">
        <v>0.0</v>
      </c>
      <c r="G579" s="21">
        <f t="shared" si="570"/>
        <v>0</v>
      </c>
      <c r="H579" s="22">
        <v>0.0</v>
      </c>
      <c r="I579" s="21">
        <f t="shared" si="571"/>
        <v>0</v>
      </c>
      <c r="J579" s="21">
        <f t="shared" ref="J579:K579" si="596">D579+F579+H579</f>
        <v>0</v>
      </c>
      <c r="K579" s="21">
        <f t="shared" si="596"/>
        <v>0</v>
      </c>
      <c r="L579" s="23"/>
    </row>
    <row r="580" ht="15.75" customHeight="1">
      <c r="A580" s="20" t="s">
        <v>38</v>
      </c>
      <c r="B580" s="20" t="s">
        <v>24</v>
      </c>
      <c r="C580" s="21">
        <v>99.0</v>
      </c>
      <c r="D580" s="24">
        <v>1.0</v>
      </c>
      <c r="E580" s="21">
        <f t="shared" si="569"/>
        <v>99</v>
      </c>
      <c r="F580" s="22">
        <v>0.0</v>
      </c>
      <c r="G580" s="21">
        <f t="shared" si="570"/>
        <v>0</v>
      </c>
      <c r="H580" s="22">
        <v>0.0</v>
      </c>
      <c r="I580" s="21">
        <f t="shared" si="571"/>
        <v>0</v>
      </c>
      <c r="J580" s="21">
        <f t="shared" ref="J580:K580" si="597">D580+F580+H580</f>
        <v>1</v>
      </c>
      <c r="K580" s="21">
        <f t="shared" si="597"/>
        <v>99</v>
      </c>
      <c r="L580" s="23"/>
    </row>
    <row r="581" ht="15.75" customHeight="1">
      <c r="A581" s="20" t="s">
        <v>38</v>
      </c>
      <c r="B581" s="20" t="s">
        <v>39</v>
      </c>
      <c r="C581" s="21">
        <v>99.0</v>
      </c>
      <c r="D581" s="22">
        <v>0.0</v>
      </c>
      <c r="E581" s="21">
        <f t="shared" si="569"/>
        <v>0</v>
      </c>
      <c r="F581" s="22">
        <v>0.0</v>
      </c>
      <c r="G581" s="21">
        <f t="shared" si="570"/>
        <v>0</v>
      </c>
      <c r="H581" s="22">
        <v>0.0</v>
      </c>
      <c r="I581" s="21">
        <f t="shared" si="571"/>
        <v>0</v>
      </c>
      <c r="J581" s="21">
        <f t="shared" ref="J581:K581" si="598">D581+F581+H581</f>
        <v>0</v>
      </c>
      <c r="K581" s="21">
        <f t="shared" si="598"/>
        <v>0</v>
      </c>
      <c r="L581" s="23"/>
    </row>
    <row r="582" ht="15.75" customHeight="1">
      <c r="A582" s="20" t="s">
        <v>38</v>
      </c>
      <c r="B582" s="20" t="s">
        <v>40</v>
      </c>
      <c r="C582" s="21">
        <v>99.0</v>
      </c>
      <c r="D582" s="24">
        <v>1.0</v>
      </c>
      <c r="E582" s="21">
        <f t="shared" si="569"/>
        <v>99</v>
      </c>
      <c r="F582" s="22">
        <v>0.0</v>
      </c>
      <c r="G582" s="21">
        <f t="shared" si="570"/>
        <v>0</v>
      </c>
      <c r="H582" s="22">
        <v>0.0</v>
      </c>
      <c r="I582" s="21">
        <f t="shared" si="571"/>
        <v>0</v>
      </c>
      <c r="J582" s="21">
        <f t="shared" ref="J582:K582" si="599">D582+F582+H582</f>
        <v>1</v>
      </c>
      <c r="K582" s="21">
        <f t="shared" si="599"/>
        <v>99</v>
      </c>
      <c r="L582" s="23"/>
    </row>
    <row r="583" ht="15.75" customHeight="1">
      <c r="A583" s="20" t="s">
        <v>38</v>
      </c>
      <c r="B583" s="20" t="s">
        <v>41</v>
      </c>
      <c r="C583" s="21">
        <v>99.0</v>
      </c>
      <c r="D583" s="22">
        <v>0.0</v>
      </c>
      <c r="E583" s="21">
        <f t="shared" si="569"/>
        <v>0</v>
      </c>
      <c r="F583" s="22">
        <v>0.0</v>
      </c>
      <c r="G583" s="21">
        <f t="shared" si="570"/>
        <v>0</v>
      </c>
      <c r="H583" s="22">
        <v>0.0</v>
      </c>
      <c r="I583" s="21">
        <f t="shared" si="571"/>
        <v>0</v>
      </c>
      <c r="J583" s="21">
        <f t="shared" ref="J583:K583" si="600">D583+F583+H583</f>
        <v>0</v>
      </c>
      <c r="K583" s="21">
        <f t="shared" si="600"/>
        <v>0</v>
      </c>
      <c r="L583" s="23"/>
    </row>
    <row r="584" ht="15.75" customHeight="1">
      <c r="A584" s="20" t="s">
        <v>42</v>
      </c>
      <c r="B584" s="20" t="s">
        <v>43</v>
      </c>
      <c r="C584" s="21">
        <v>149.0</v>
      </c>
      <c r="D584" s="22">
        <v>0.0</v>
      </c>
      <c r="E584" s="21">
        <f t="shared" si="569"/>
        <v>0</v>
      </c>
      <c r="F584" s="22">
        <v>0.0</v>
      </c>
      <c r="G584" s="21">
        <f t="shared" si="570"/>
        <v>0</v>
      </c>
      <c r="H584" s="22">
        <v>0.0</v>
      </c>
      <c r="I584" s="21">
        <f t="shared" si="571"/>
        <v>0</v>
      </c>
      <c r="J584" s="21">
        <f t="shared" ref="J584:K584" si="601">D584+F584+H584</f>
        <v>0</v>
      </c>
      <c r="K584" s="21">
        <f t="shared" si="601"/>
        <v>0</v>
      </c>
      <c r="L584" s="23"/>
    </row>
    <row r="585" ht="15.75" customHeight="1">
      <c r="A585" s="20" t="s">
        <v>42</v>
      </c>
      <c r="B585" s="20" t="s">
        <v>44</v>
      </c>
      <c r="C585" s="21">
        <v>149.0</v>
      </c>
      <c r="D585" s="22">
        <v>0.0</v>
      </c>
      <c r="E585" s="21">
        <f t="shared" si="569"/>
        <v>0</v>
      </c>
      <c r="F585" s="24">
        <v>1.0</v>
      </c>
      <c r="G585" s="21">
        <f t="shared" si="570"/>
        <v>149</v>
      </c>
      <c r="H585" s="22">
        <v>0.0</v>
      </c>
      <c r="I585" s="21">
        <f t="shared" si="571"/>
        <v>0</v>
      </c>
      <c r="J585" s="21">
        <f t="shared" ref="J585:K585" si="602">D585+F585+H585</f>
        <v>1</v>
      </c>
      <c r="K585" s="21">
        <f t="shared" si="602"/>
        <v>149</v>
      </c>
      <c r="L585" s="23"/>
    </row>
    <row r="586" ht="15.75" customHeight="1">
      <c r="A586" s="20" t="s">
        <v>42</v>
      </c>
      <c r="B586" s="20" t="s">
        <v>45</v>
      </c>
      <c r="C586" s="21">
        <v>149.0</v>
      </c>
      <c r="D586" s="22">
        <v>0.0</v>
      </c>
      <c r="E586" s="21">
        <f t="shared" si="569"/>
        <v>0</v>
      </c>
      <c r="F586" s="22">
        <v>0.0</v>
      </c>
      <c r="G586" s="21">
        <f t="shared" si="570"/>
        <v>0</v>
      </c>
      <c r="H586" s="22">
        <v>0.0</v>
      </c>
      <c r="I586" s="21">
        <f t="shared" si="571"/>
        <v>0</v>
      </c>
      <c r="J586" s="21">
        <f t="shared" ref="J586:K586" si="603">D586+F586+H586</f>
        <v>0</v>
      </c>
      <c r="K586" s="21">
        <f t="shared" si="603"/>
        <v>0</v>
      </c>
      <c r="L586" s="23"/>
    </row>
    <row r="587" ht="15.75" customHeight="1">
      <c r="A587" s="20" t="s">
        <v>42</v>
      </c>
      <c r="B587" s="20" t="s">
        <v>46</v>
      </c>
      <c r="C587" s="21">
        <v>149.0</v>
      </c>
      <c r="D587" s="22">
        <v>0.0</v>
      </c>
      <c r="E587" s="21">
        <f t="shared" si="569"/>
        <v>0</v>
      </c>
      <c r="F587" s="22">
        <v>0.0</v>
      </c>
      <c r="G587" s="21">
        <f t="shared" si="570"/>
        <v>0</v>
      </c>
      <c r="H587" s="22">
        <v>0.0</v>
      </c>
      <c r="I587" s="21">
        <f t="shared" si="571"/>
        <v>0</v>
      </c>
      <c r="J587" s="21">
        <f t="shared" ref="J587:K587" si="604">D587+F587+H587</f>
        <v>0</v>
      </c>
      <c r="K587" s="21">
        <f t="shared" si="604"/>
        <v>0</v>
      </c>
      <c r="L587" s="23"/>
    </row>
    <row r="588" ht="15.75" customHeight="1">
      <c r="A588" s="20" t="s">
        <v>47</v>
      </c>
      <c r="B588" s="20" t="s">
        <v>48</v>
      </c>
      <c r="C588" s="21">
        <v>25.0</v>
      </c>
      <c r="D588" s="24">
        <v>2.0</v>
      </c>
      <c r="E588" s="21">
        <f t="shared" si="569"/>
        <v>50</v>
      </c>
      <c r="F588" s="22">
        <v>0.0</v>
      </c>
      <c r="G588" s="21">
        <f t="shared" si="570"/>
        <v>0</v>
      </c>
      <c r="H588" s="22">
        <v>0.0</v>
      </c>
      <c r="I588" s="21">
        <f t="shared" si="571"/>
        <v>0</v>
      </c>
      <c r="J588" s="21">
        <f t="shared" ref="J588:K588" si="605">D588+F588+H588</f>
        <v>2</v>
      </c>
      <c r="K588" s="21">
        <f t="shared" si="605"/>
        <v>50</v>
      </c>
      <c r="L588" s="23"/>
    </row>
    <row r="589" ht="15.75" customHeight="1">
      <c r="A589" s="20" t="s">
        <v>47</v>
      </c>
      <c r="B589" s="20" t="s">
        <v>49</v>
      </c>
      <c r="C589" s="21">
        <v>20.0</v>
      </c>
      <c r="D589" s="22">
        <v>0.0</v>
      </c>
      <c r="E589" s="21">
        <f t="shared" si="569"/>
        <v>0</v>
      </c>
      <c r="F589" s="22">
        <v>0.0</v>
      </c>
      <c r="G589" s="21">
        <f t="shared" si="570"/>
        <v>0</v>
      </c>
      <c r="H589" s="22">
        <v>0.0</v>
      </c>
      <c r="I589" s="21">
        <f t="shared" si="571"/>
        <v>0</v>
      </c>
      <c r="J589" s="21">
        <f t="shared" ref="J589:K589" si="606">D589+F589+H589</f>
        <v>0</v>
      </c>
      <c r="K589" s="21">
        <f t="shared" si="606"/>
        <v>0</v>
      </c>
      <c r="L589" s="23"/>
    </row>
    <row r="590" ht="15.75" customHeight="1">
      <c r="A590" s="20" t="s">
        <v>47</v>
      </c>
      <c r="B590" s="20" t="s">
        <v>50</v>
      </c>
      <c r="C590" s="21">
        <v>20.0</v>
      </c>
      <c r="D590" s="22">
        <v>0.0</v>
      </c>
      <c r="E590" s="21">
        <f t="shared" si="569"/>
        <v>0</v>
      </c>
      <c r="F590" s="22">
        <v>0.0</v>
      </c>
      <c r="G590" s="21">
        <f t="shared" si="570"/>
        <v>0</v>
      </c>
      <c r="H590" s="22">
        <v>0.0</v>
      </c>
      <c r="I590" s="21">
        <f t="shared" si="571"/>
        <v>0</v>
      </c>
      <c r="J590" s="21">
        <f t="shared" ref="J590:K590" si="607">D590+F590+H590</f>
        <v>0</v>
      </c>
      <c r="K590" s="21">
        <f t="shared" si="607"/>
        <v>0</v>
      </c>
      <c r="L590" s="23"/>
    </row>
    <row r="591" ht="15.75" customHeight="1">
      <c r="A591" s="20" t="s">
        <v>47</v>
      </c>
      <c r="B591" s="20" t="s">
        <v>51</v>
      </c>
      <c r="C591" s="21">
        <v>20.0</v>
      </c>
      <c r="D591" s="22">
        <v>0.0</v>
      </c>
      <c r="E591" s="21">
        <f t="shared" si="569"/>
        <v>0</v>
      </c>
      <c r="F591" s="22">
        <v>0.0</v>
      </c>
      <c r="G591" s="21">
        <f t="shared" si="570"/>
        <v>0</v>
      </c>
      <c r="H591" s="22">
        <v>0.0</v>
      </c>
      <c r="I591" s="21">
        <f t="shared" si="571"/>
        <v>0</v>
      </c>
      <c r="J591" s="21">
        <f t="shared" ref="J591:K591" si="608">D591+F591+H591</f>
        <v>0</v>
      </c>
      <c r="K591" s="21">
        <f t="shared" si="608"/>
        <v>0</v>
      </c>
      <c r="L591" s="23"/>
    </row>
    <row r="592" ht="15.75" customHeight="1">
      <c r="A592" s="20" t="s">
        <v>47</v>
      </c>
      <c r="B592" s="20" t="s">
        <v>52</v>
      </c>
      <c r="C592" s="21">
        <v>25.0</v>
      </c>
      <c r="D592" s="22">
        <v>0.0</v>
      </c>
      <c r="E592" s="21">
        <f t="shared" si="569"/>
        <v>0</v>
      </c>
      <c r="F592" s="22">
        <v>0.0</v>
      </c>
      <c r="G592" s="21">
        <f t="shared" si="570"/>
        <v>0</v>
      </c>
      <c r="H592" s="22">
        <v>0.0</v>
      </c>
      <c r="I592" s="21">
        <f t="shared" si="571"/>
        <v>0</v>
      </c>
      <c r="J592" s="21">
        <f t="shared" ref="J592:K592" si="609">D592+F592+H592</f>
        <v>0</v>
      </c>
      <c r="K592" s="21">
        <f t="shared" si="609"/>
        <v>0</v>
      </c>
      <c r="L592" s="23"/>
    </row>
    <row r="593" ht="15.75" customHeight="1">
      <c r="A593" s="20" t="s">
        <v>47</v>
      </c>
      <c r="B593" s="20" t="s">
        <v>53</v>
      </c>
      <c r="C593" s="21">
        <v>20.0</v>
      </c>
      <c r="D593" s="22">
        <v>0.0</v>
      </c>
      <c r="E593" s="21">
        <f t="shared" si="569"/>
        <v>0</v>
      </c>
      <c r="F593" s="22">
        <v>0.0</v>
      </c>
      <c r="G593" s="21">
        <f t="shared" si="570"/>
        <v>0</v>
      </c>
      <c r="H593" s="22">
        <v>0.0</v>
      </c>
      <c r="I593" s="21">
        <f t="shared" si="571"/>
        <v>0</v>
      </c>
      <c r="J593" s="21">
        <f t="shared" ref="J593:K593" si="610">D593+F593+H593</f>
        <v>0</v>
      </c>
      <c r="K593" s="21">
        <f t="shared" si="610"/>
        <v>0</v>
      </c>
      <c r="L593" s="23"/>
    </row>
    <row r="594" ht="15.75" customHeight="1">
      <c r="A594" s="20" t="s">
        <v>54</v>
      </c>
      <c r="B594" s="20" t="s">
        <v>55</v>
      </c>
      <c r="C594" s="21">
        <v>149.0</v>
      </c>
      <c r="D594" s="22">
        <v>0.0</v>
      </c>
      <c r="E594" s="21">
        <f t="shared" si="569"/>
        <v>0</v>
      </c>
      <c r="F594" s="22">
        <v>0.0</v>
      </c>
      <c r="G594" s="21">
        <f t="shared" si="570"/>
        <v>0</v>
      </c>
      <c r="H594" s="22">
        <v>0.0</v>
      </c>
      <c r="I594" s="21">
        <f t="shared" si="571"/>
        <v>0</v>
      </c>
      <c r="J594" s="21">
        <f t="shared" ref="J594:K594" si="611">D594+F594+H594</f>
        <v>0</v>
      </c>
      <c r="K594" s="21">
        <f t="shared" si="611"/>
        <v>0</v>
      </c>
      <c r="L594" s="23"/>
    </row>
    <row r="595" ht="15.75" customHeight="1">
      <c r="A595" s="20" t="s">
        <v>54</v>
      </c>
      <c r="B595" s="20" t="s">
        <v>56</v>
      </c>
      <c r="C595" s="21">
        <v>149.0</v>
      </c>
      <c r="D595" s="22">
        <v>0.0</v>
      </c>
      <c r="E595" s="21">
        <f t="shared" si="569"/>
        <v>0</v>
      </c>
      <c r="F595" s="22">
        <v>0.0</v>
      </c>
      <c r="G595" s="21">
        <f t="shared" si="570"/>
        <v>0</v>
      </c>
      <c r="H595" s="22">
        <v>0.0</v>
      </c>
      <c r="I595" s="21">
        <f t="shared" si="571"/>
        <v>0</v>
      </c>
      <c r="J595" s="21">
        <f t="shared" ref="J595:K595" si="612">D595+F595+H595</f>
        <v>0</v>
      </c>
      <c r="K595" s="21">
        <f t="shared" si="612"/>
        <v>0</v>
      </c>
      <c r="L595" s="23"/>
    </row>
    <row r="596" ht="15.75" customHeight="1">
      <c r="A596" s="20" t="s">
        <v>54</v>
      </c>
      <c r="B596" s="20" t="s">
        <v>57</v>
      </c>
      <c r="C596" s="21">
        <v>149.0</v>
      </c>
      <c r="D596" s="22">
        <v>0.0</v>
      </c>
      <c r="E596" s="21">
        <f t="shared" si="569"/>
        <v>0</v>
      </c>
      <c r="F596" s="22">
        <v>0.0</v>
      </c>
      <c r="G596" s="21">
        <f t="shared" si="570"/>
        <v>0</v>
      </c>
      <c r="H596" s="22">
        <v>0.0</v>
      </c>
      <c r="I596" s="21">
        <f t="shared" si="571"/>
        <v>0</v>
      </c>
      <c r="J596" s="21">
        <f t="shared" ref="J596:K596" si="613">D596+F596+H596</f>
        <v>0</v>
      </c>
      <c r="K596" s="21">
        <f t="shared" si="613"/>
        <v>0</v>
      </c>
      <c r="L596" s="23"/>
    </row>
    <row r="597" ht="15.75" customHeight="1">
      <c r="A597" s="25" t="s">
        <v>58</v>
      </c>
      <c r="B597" s="26"/>
      <c r="C597" s="26"/>
      <c r="D597" s="26"/>
      <c r="E597" s="27">
        <f>SUM(E554:E596)</f>
        <v>1679</v>
      </c>
      <c r="F597" s="26"/>
      <c r="G597" s="27">
        <f>SUM(G554:G596)</f>
        <v>646</v>
      </c>
      <c r="H597" s="26"/>
      <c r="I597" s="27">
        <f t="shared" ref="I597:K597" si="614">SUM(I554:I596)</f>
        <v>0</v>
      </c>
      <c r="J597" s="27">
        <f t="shared" si="614"/>
        <v>17</v>
      </c>
      <c r="K597" s="27">
        <f t="shared" si="614"/>
        <v>2325</v>
      </c>
      <c r="L597" s="28">
        <v>46013.0</v>
      </c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18" t="s">
        <v>0</v>
      </c>
      <c r="B599" s="18" t="s">
        <v>1</v>
      </c>
      <c r="C599" s="18" t="s">
        <v>2</v>
      </c>
      <c r="D599" s="19" t="s">
        <v>3</v>
      </c>
      <c r="E599" s="18" t="s">
        <v>4</v>
      </c>
      <c r="F599" s="19" t="s">
        <v>5</v>
      </c>
      <c r="G599" s="18" t="s">
        <v>6</v>
      </c>
      <c r="H599" s="19" t="s">
        <v>7</v>
      </c>
      <c r="I599" s="18" t="s">
        <v>8</v>
      </c>
      <c r="J599" s="18" t="s">
        <v>9</v>
      </c>
      <c r="K599" s="18" t="s">
        <v>10</v>
      </c>
      <c r="L599" s="20" t="s">
        <v>11</v>
      </c>
    </row>
    <row r="600" ht="15.75" customHeight="1">
      <c r="A600" s="20" t="s">
        <v>12</v>
      </c>
      <c r="B600" s="20" t="s">
        <v>13</v>
      </c>
      <c r="C600" s="21">
        <v>189.0</v>
      </c>
      <c r="D600" s="22">
        <v>0.0</v>
      </c>
      <c r="E600" s="21">
        <f t="shared" ref="E600:E642" si="616">C600*D600</f>
        <v>0</v>
      </c>
      <c r="F600" s="22">
        <v>0.0</v>
      </c>
      <c r="G600" s="21">
        <f t="shared" ref="G600:G642" si="617">C600*F600</f>
        <v>0</v>
      </c>
      <c r="H600" s="22">
        <v>0.0</v>
      </c>
      <c r="I600" s="21">
        <f t="shared" ref="I600:I642" si="618">C600*H600</f>
        <v>0</v>
      </c>
      <c r="J600" s="21">
        <f t="shared" ref="J600:K600" si="615">D600+F600+H600</f>
        <v>0</v>
      </c>
      <c r="K600" s="21">
        <f t="shared" si="615"/>
        <v>0</v>
      </c>
      <c r="L600" s="23"/>
    </row>
    <row r="601" ht="15.75" customHeight="1">
      <c r="A601" s="20" t="s">
        <v>12</v>
      </c>
      <c r="B601" s="20" t="s">
        <v>14</v>
      </c>
      <c r="C601" s="21">
        <v>189.0</v>
      </c>
      <c r="D601" s="22">
        <v>0.0</v>
      </c>
      <c r="E601" s="21">
        <f t="shared" si="616"/>
        <v>0</v>
      </c>
      <c r="F601" s="22">
        <v>0.0</v>
      </c>
      <c r="G601" s="21">
        <f t="shared" si="617"/>
        <v>0</v>
      </c>
      <c r="H601" s="22">
        <v>0.0</v>
      </c>
      <c r="I601" s="21">
        <f t="shared" si="618"/>
        <v>0</v>
      </c>
      <c r="J601" s="21">
        <f t="shared" ref="J601:K601" si="619">D601+F601+H601</f>
        <v>0</v>
      </c>
      <c r="K601" s="21">
        <f t="shared" si="619"/>
        <v>0</v>
      </c>
      <c r="L601" s="23"/>
    </row>
    <row r="602" ht="15.75" customHeight="1">
      <c r="A602" s="20" t="s">
        <v>12</v>
      </c>
      <c r="B602" s="20" t="s">
        <v>15</v>
      </c>
      <c r="C602" s="21">
        <v>189.0</v>
      </c>
      <c r="D602" s="22">
        <v>0.0</v>
      </c>
      <c r="E602" s="21">
        <f t="shared" si="616"/>
        <v>0</v>
      </c>
      <c r="F602" s="22">
        <v>0.0</v>
      </c>
      <c r="G602" s="21">
        <f t="shared" si="617"/>
        <v>0</v>
      </c>
      <c r="H602" s="22">
        <v>0.0</v>
      </c>
      <c r="I602" s="21">
        <f t="shared" si="618"/>
        <v>0</v>
      </c>
      <c r="J602" s="21">
        <f t="shared" ref="J602:K602" si="620">D602+F602+H602</f>
        <v>0</v>
      </c>
      <c r="K602" s="21">
        <f t="shared" si="620"/>
        <v>0</v>
      </c>
      <c r="L602" s="23"/>
    </row>
    <row r="603" ht="15.75" customHeight="1">
      <c r="A603" s="20" t="s">
        <v>12</v>
      </c>
      <c r="B603" s="20" t="s">
        <v>16</v>
      </c>
      <c r="C603" s="21">
        <v>189.0</v>
      </c>
      <c r="D603" s="22">
        <v>0.0</v>
      </c>
      <c r="E603" s="21">
        <f t="shared" si="616"/>
        <v>0</v>
      </c>
      <c r="F603" s="22">
        <v>0.0</v>
      </c>
      <c r="G603" s="21">
        <f t="shared" si="617"/>
        <v>0</v>
      </c>
      <c r="H603" s="22">
        <v>0.0</v>
      </c>
      <c r="I603" s="21">
        <f t="shared" si="618"/>
        <v>0</v>
      </c>
      <c r="J603" s="21">
        <f t="shared" ref="J603:K603" si="621">D603+F603+H603</f>
        <v>0</v>
      </c>
      <c r="K603" s="21">
        <f t="shared" si="621"/>
        <v>0</v>
      </c>
      <c r="L603" s="23"/>
    </row>
    <row r="604" ht="15.75" customHeight="1">
      <c r="A604" s="20" t="s">
        <v>12</v>
      </c>
      <c r="B604" s="20" t="s">
        <v>17</v>
      </c>
      <c r="C604" s="21">
        <v>189.0</v>
      </c>
      <c r="D604" s="22">
        <v>0.0</v>
      </c>
      <c r="E604" s="21">
        <f t="shared" si="616"/>
        <v>0</v>
      </c>
      <c r="F604" s="22">
        <v>0.0</v>
      </c>
      <c r="G604" s="21">
        <f t="shared" si="617"/>
        <v>0</v>
      </c>
      <c r="H604" s="22">
        <v>0.0</v>
      </c>
      <c r="I604" s="21">
        <f t="shared" si="618"/>
        <v>0</v>
      </c>
      <c r="J604" s="21">
        <f t="shared" ref="J604:K604" si="622">D604+F604+H604</f>
        <v>0</v>
      </c>
      <c r="K604" s="21">
        <f t="shared" si="622"/>
        <v>0</v>
      </c>
      <c r="L604" s="23"/>
    </row>
    <row r="605" ht="15.75" customHeight="1">
      <c r="A605" s="20" t="s">
        <v>12</v>
      </c>
      <c r="B605" s="20" t="s">
        <v>18</v>
      </c>
      <c r="C605" s="21">
        <v>189.0</v>
      </c>
      <c r="D605" s="22">
        <v>0.0</v>
      </c>
      <c r="E605" s="21">
        <f t="shared" si="616"/>
        <v>0</v>
      </c>
      <c r="F605" s="22">
        <v>0.0</v>
      </c>
      <c r="G605" s="21">
        <f t="shared" si="617"/>
        <v>0</v>
      </c>
      <c r="H605" s="22">
        <v>0.0</v>
      </c>
      <c r="I605" s="21">
        <f t="shared" si="618"/>
        <v>0</v>
      </c>
      <c r="J605" s="21">
        <f t="shared" ref="J605:K605" si="623">D605+F605+H605</f>
        <v>0</v>
      </c>
      <c r="K605" s="21">
        <f t="shared" si="623"/>
        <v>0</v>
      </c>
      <c r="L605" s="23"/>
    </row>
    <row r="606" ht="15.75" customHeight="1">
      <c r="A606" s="20" t="s">
        <v>12</v>
      </c>
      <c r="B606" s="20" t="s">
        <v>19</v>
      </c>
      <c r="C606" s="21">
        <v>189.0</v>
      </c>
      <c r="D606" s="22">
        <v>0.0</v>
      </c>
      <c r="E606" s="21">
        <f t="shared" si="616"/>
        <v>0</v>
      </c>
      <c r="F606" s="22">
        <v>0.0</v>
      </c>
      <c r="G606" s="21">
        <f t="shared" si="617"/>
        <v>0</v>
      </c>
      <c r="H606" s="22">
        <v>0.0</v>
      </c>
      <c r="I606" s="21">
        <f t="shared" si="618"/>
        <v>0</v>
      </c>
      <c r="J606" s="21">
        <f t="shared" ref="J606:K606" si="624">D606+F606+H606</f>
        <v>0</v>
      </c>
      <c r="K606" s="21">
        <f t="shared" si="624"/>
        <v>0</v>
      </c>
      <c r="L606" s="23"/>
    </row>
    <row r="607" ht="15.75" customHeight="1">
      <c r="A607" s="20" t="s">
        <v>12</v>
      </c>
      <c r="B607" s="20" t="s">
        <v>20</v>
      </c>
      <c r="C607" s="21">
        <v>189.0</v>
      </c>
      <c r="D607" s="22">
        <v>0.0</v>
      </c>
      <c r="E607" s="21">
        <f t="shared" si="616"/>
        <v>0</v>
      </c>
      <c r="F607" s="22">
        <v>0.0</v>
      </c>
      <c r="G607" s="21">
        <f t="shared" si="617"/>
        <v>0</v>
      </c>
      <c r="H607" s="22">
        <v>0.0</v>
      </c>
      <c r="I607" s="21">
        <f t="shared" si="618"/>
        <v>0</v>
      </c>
      <c r="J607" s="21">
        <f t="shared" ref="J607:K607" si="625">D607+F607+H607</f>
        <v>0</v>
      </c>
      <c r="K607" s="21">
        <f t="shared" si="625"/>
        <v>0</v>
      </c>
      <c r="L607" s="23"/>
    </row>
    <row r="608" ht="15.75" customHeight="1">
      <c r="A608" s="20" t="s">
        <v>21</v>
      </c>
      <c r="B608" s="20" t="s">
        <v>20</v>
      </c>
      <c r="C608" s="21">
        <v>149.0</v>
      </c>
      <c r="D608" s="24">
        <v>1.0</v>
      </c>
      <c r="E608" s="21">
        <f t="shared" si="616"/>
        <v>149</v>
      </c>
      <c r="F608" s="22">
        <v>0.0</v>
      </c>
      <c r="G608" s="21">
        <f t="shared" si="617"/>
        <v>0</v>
      </c>
      <c r="H608" s="22">
        <v>0.0</v>
      </c>
      <c r="I608" s="21">
        <f t="shared" si="618"/>
        <v>0</v>
      </c>
      <c r="J608" s="21">
        <f t="shared" ref="J608:K608" si="626">D608+F608+H608</f>
        <v>1</v>
      </c>
      <c r="K608" s="21">
        <f t="shared" si="626"/>
        <v>149</v>
      </c>
      <c r="L608" s="23"/>
    </row>
    <row r="609" ht="15.75" customHeight="1">
      <c r="A609" s="20" t="s">
        <v>21</v>
      </c>
      <c r="B609" s="20" t="s">
        <v>22</v>
      </c>
      <c r="C609" s="21">
        <v>149.0</v>
      </c>
      <c r="D609" s="22">
        <v>0.0</v>
      </c>
      <c r="E609" s="21">
        <f t="shared" si="616"/>
        <v>0</v>
      </c>
      <c r="F609" s="22">
        <v>0.0</v>
      </c>
      <c r="G609" s="21">
        <f t="shared" si="617"/>
        <v>0</v>
      </c>
      <c r="H609" s="22">
        <v>0.0</v>
      </c>
      <c r="I609" s="21">
        <f t="shared" si="618"/>
        <v>0</v>
      </c>
      <c r="J609" s="21">
        <f t="shared" ref="J609:K609" si="627">D609+F609+H609</f>
        <v>0</v>
      </c>
      <c r="K609" s="21">
        <f t="shared" si="627"/>
        <v>0</v>
      </c>
      <c r="L609" s="23"/>
    </row>
    <row r="610" ht="15.75" customHeight="1">
      <c r="A610" s="20" t="s">
        <v>21</v>
      </c>
      <c r="B610" s="20" t="s">
        <v>23</v>
      </c>
      <c r="C610" s="21">
        <v>149.0</v>
      </c>
      <c r="D610" s="22">
        <v>0.0</v>
      </c>
      <c r="E610" s="21">
        <f t="shared" si="616"/>
        <v>0</v>
      </c>
      <c r="F610" s="22">
        <v>0.0</v>
      </c>
      <c r="G610" s="21">
        <f t="shared" si="617"/>
        <v>0</v>
      </c>
      <c r="H610" s="22">
        <v>0.0</v>
      </c>
      <c r="I610" s="21">
        <f t="shared" si="618"/>
        <v>0</v>
      </c>
      <c r="J610" s="21">
        <f t="shared" ref="J610:K610" si="628">D610+F610+H610</f>
        <v>0</v>
      </c>
      <c r="K610" s="21">
        <f t="shared" si="628"/>
        <v>0</v>
      </c>
      <c r="L610" s="23"/>
    </row>
    <row r="611" ht="15.75" customHeight="1">
      <c r="A611" s="20" t="s">
        <v>21</v>
      </c>
      <c r="B611" s="20" t="s">
        <v>14</v>
      </c>
      <c r="C611" s="21">
        <v>149.0</v>
      </c>
      <c r="D611" s="22">
        <v>0.0</v>
      </c>
      <c r="E611" s="21">
        <f t="shared" si="616"/>
        <v>0</v>
      </c>
      <c r="F611" s="24">
        <v>1.0</v>
      </c>
      <c r="G611" s="21">
        <f t="shared" si="617"/>
        <v>149</v>
      </c>
      <c r="H611" s="22">
        <v>0.0</v>
      </c>
      <c r="I611" s="21">
        <f t="shared" si="618"/>
        <v>0</v>
      </c>
      <c r="J611" s="21">
        <f t="shared" ref="J611:K611" si="629">D611+F611+H611</f>
        <v>1</v>
      </c>
      <c r="K611" s="21">
        <f t="shared" si="629"/>
        <v>149</v>
      </c>
      <c r="L611" s="23"/>
    </row>
    <row r="612" ht="15.75" customHeight="1">
      <c r="A612" s="20" t="s">
        <v>21</v>
      </c>
      <c r="B612" s="20" t="s">
        <v>24</v>
      </c>
      <c r="C612" s="21">
        <v>149.0</v>
      </c>
      <c r="D612" s="22">
        <v>0.0</v>
      </c>
      <c r="E612" s="21">
        <f t="shared" si="616"/>
        <v>0</v>
      </c>
      <c r="F612" s="22">
        <v>0.0</v>
      </c>
      <c r="G612" s="21">
        <f t="shared" si="617"/>
        <v>0</v>
      </c>
      <c r="H612" s="22">
        <v>0.0</v>
      </c>
      <c r="I612" s="21">
        <f t="shared" si="618"/>
        <v>0</v>
      </c>
      <c r="J612" s="21">
        <f t="shared" ref="J612:K612" si="630">D612+F612+H612</f>
        <v>0</v>
      </c>
      <c r="K612" s="21">
        <f t="shared" si="630"/>
        <v>0</v>
      </c>
      <c r="L612" s="23"/>
    </row>
    <row r="613" ht="15.75" customHeight="1">
      <c r="A613" s="20" t="s">
        <v>21</v>
      </c>
      <c r="B613" s="20" t="s">
        <v>25</v>
      </c>
      <c r="C613" s="21">
        <v>149.0</v>
      </c>
      <c r="D613" s="22">
        <v>0.0</v>
      </c>
      <c r="E613" s="21">
        <f t="shared" si="616"/>
        <v>0</v>
      </c>
      <c r="F613" s="22">
        <v>0.0</v>
      </c>
      <c r="G613" s="21">
        <f t="shared" si="617"/>
        <v>0</v>
      </c>
      <c r="H613" s="22">
        <v>0.0</v>
      </c>
      <c r="I613" s="21">
        <f t="shared" si="618"/>
        <v>0</v>
      </c>
      <c r="J613" s="21">
        <f t="shared" ref="J613:K613" si="631">D613+F613+H613</f>
        <v>0</v>
      </c>
      <c r="K613" s="21">
        <f t="shared" si="631"/>
        <v>0</v>
      </c>
      <c r="L613" s="23"/>
    </row>
    <row r="614" ht="15.75" customHeight="1">
      <c r="A614" s="20" t="s">
        <v>21</v>
      </c>
      <c r="B614" s="20" t="s">
        <v>26</v>
      </c>
      <c r="C614" s="21">
        <v>149.0</v>
      </c>
      <c r="D614" s="22">
        <v>0.0</v>
      </c>
      <c r="E614" s="21">
        <f t="shared" si="616"/>
        <v>0</v>
      </c>
      <c r="F614" s="22">
        <v>0.0</v>
      </c>
      <c r="G614" s="21">
        <f t="shared" si="617"/>
        <v>0</v>
      </c>
      <c r="H614" s="22">
        <v>0.0</v>
      </c>
      <c r="I614" s="21">
        <f t="shared" si="618"/>
        <v>0</v>
      </c>
      <c r="J614" s="21">
        <f t="shared" ref="J614:K614" si="632">D614+F614+H614</f>
        <v>0</v>
      </c>
      <c r="K614" s="21">
        <f t="shared" si="632"/>
        <v>0</v>
      </c>
      <c r="L614" s="23"/>
    </row>
    <row r="615" ht="15.75" customHeight="1">
      <c r="A615" s="20" t="s">
        <v>21</v>
      </c>
      <c r="B615" s="20" t="s">
        <v>27</v>
      </c>
      <c r="C615" s="21">
        <v>149.0</v>
      </c>
      <c r="D615" s="22">
        <v>0.0</v>
      </c>
      <c r="E615" s="21">
        <f t="shared" si="616"/>
        <v>0</v>
      </c>
      <c r="F615" s="22">
        <v>0.0</v>
      </c>
      <c r="G615" s="21">
        <f t="shared" si="617"/>
        <v>0</v>
      </c>
      <c r="H615" s="22">
        <v>0.0</v>
      </c>
      <c r="I615" s="21">
        <f t="shared" si="618"/>
        <v>0</v>
      </c>
      <c r="J615" s="21">
        <f t="shared" ref="J615:K615" si="633">D615+F615+H615</f>
        <v>0</v>
      </c>
      <c r="K615" s="21">
        <f t="shared" si="633"/>
        <v>0</v>
      </c>
      <c r="L615" s="23"/>
    </row>
    <row r="616" ht="15.75" customHeight="1">
      <c r="A616" s="20" t="s">
        <v>21</v>
      </c>
      <c r="B616" s="20" t="s">
        <v>28</v>
      </c>
      <c r="C616" s="21">
        <v>149.0</v>
      </c>
      <c r="D616" s="22">
        <v>0.0</v>
      </c>
      <c r="E616" s="21">
        <f t="shared" si="616"/>
        <v>0</v>
      </c>
      <c r="F616" s="22">
        <v>0.0</v>
      </c>
      <c r="G616" s="21">
        <f t="shared" si="617"/>
        <v>0</v>
      </c>
      <c r="H616" s="22">
        <v>0.0</v>
      </c>
      <c r="I616" s="21">
        <f t="shared" si="618"/>
        <v>0</v>
      </c>
      <c r="J616" s="21">
        <f t="shared" ref="J616:K616" si="634">D616+F616+H616</f>
        <v>0</v>
      </c>
      <c r="K616" s="21">
        <f t="shared" si="634"/>
        <v>0</v>
      </c>
      <c r="L616" s="23"/>
    </row>
    <row r="617" ht="15.75" customHeight="1">
      <c r="A617" s="20" t="s">
        <v>21</v>
      </c>
      <c r="B617" s="20" t="s">
        <v>29</v>
      </c>
      <c r="C617" s="21">
        <v>149.0</v>
      </c>
      <c r="D617" s="22">
        <v>0.0</v>
      </c>
      <c r="E617" s="21">
        <f t="shared" si="616"/>
        <v>0</v>
      </c>
      <c r="F617" s="22">
        <v>0.0</v>
      </c>
      <c r="G617" s="21">
        <f t="shared" si="617"/>
        <v>0</v>
      </c>
      <c r="H617" s="22">
        <v>0.0</v>
      </c>
      <c r="I617" s="21">
        <f t="shared" si="618"/>
        <v>0</v>
      </c>
      <c r="J617" s="21">
        <f t="shared" ref="J617:K617" si="635">D617+F617+H617</f>
        <v>0</v>
      </c>
      <c r="K617" s="21">
        <f t="shared" si="635"/>
        <v>0</v>
      </c>
      <c r="L617" s="23"/>
    </row>
    <row r="618" ht="15.75" customHeight="1">
      <c r="A618" s="20" t="s">
        <v>21</v>
      </c>
      <c r="B618" s="20" t="s">
        <v>30</v>
      </c>
      <c r="C618" s="21">
        <v>149.0</v>
      </c>
      <c r="D618" s="22">
        <v>0.0</v>
      </c>
      <c r="E618" s="21">
        <f t="shared" si="616"/>
        <v>0</v>
      </c>
      <c r="F618" s="22">
        <v>0.0</v>
      </c>
      <c r="G618" s="21">
        <f t="shared" si="617"/>
        <v>0</v>
      </c>
      <c r="H618" s="22">
        <v>0.0</v>
      </c>
      <c r="I618" s="21">
        <f t="shared" si="618"/>
        <v>0</v>
      </c>
      <c r="J618" s="21">
        <f t="shared" ref="J618:K618" si="636">D618+F618+H618</f>
        <v>0</v>
      </c>
      <c r="K618" s="21">
        <f t="shared" si="636"/>
        <v>0</v>
      </c>
      <c r="L618" s="23"/>
    </row>
    <row r="619" ht="15.75" customHeight="1">
      <c r="A619" s="20" t="s">
        <v>21</v>
      </c>
      <c r="B619" s="20" t="s">
        <v>31</v>
      </c>
      <c r="C619" s="21">
        <v>149.0</v>
      </c>
      <c r="D619" s="22">
        <v>0.0</v>
      </c>
      <c r="E619" s="21">
        <f t="shared" si="616"/>
        <v>0</v>
      </c>
      <c r="F619" s="22">
        <v>0.0</v>
      </c>
      <c r="G619" s="21">
        <f t="shared" si="617"/>
        <v>0</v>
      </c>
      <c r="H619" s="22">
        <v>0.0</v>
      </c>
      <c r="I619" s="21">
        <f t="shared" si="618"/>
        <v>0</v>
      </c>
      <c r="J619" s="21">
        <f t="shared" ref="J619:K619" si="637">D619+F619+H619</f>
        <v>0</v>
      </c>
      <c r="K619" s="21">
        <f t="shared" si="637"/>
        <v>0</v>
      </c>
      <c r="L619" s="23"/>
    </row>
    <row r="620" ht="15.75" customHeight="1">
      <c r="A620" s="20" t="s">
        <v>21</v>
      </c>
      <c r="B620" s="20" t="s">
        <v>32</v>
      </c>
      <c r="C620" s="21">
        <v>149.0</v>
      </c>
      <c r="D620" s="22">
        <v>0.0</v>
      </c>
      <c r="E620" s="21">
        <f t="shared" si="616"/>
        <v>0</v>
      </c>
      <c r="F620" s="22">
        <v>0.0</v>
      </c>
      <c r="G620" s="21">
        <f t="shared" si="617"/>
        <v>0</v>
      </c>
      <c r="H620" s="22">
        <v>0.0</v>
      </c>
      <c r="I620" s="21">
        <f t="shared" si="618"/>
        <v>0</v>
      </c>
      <c r="J620" s="21">
        <f t="shared" ref="J620:K620" si="638">D620+F620+H620</f>
        <v>0</v>
      </c>
      <c r="K620" s="21">
        <f t="shared" si="638"/>
        <v>0</v>
      </c>
      <c r="L620" s="23"/>
    </row>
    <row r="621" ht="15.75" customHeight="1">
      <c r="A621" s="20" t="s">
        <v>33</v>
      </c>
      <c r="B621" s="20" t="s">
        <v>34</v>
      </c>
      <c r="C621" s="21">
        <v>159.0</v>
      </c>
      <c r="D621" s="24">
        <v>3.0</v>
      </c>
      <c r="E621" s="21">
        <f t="shared" si="616"/>
        <v>477</v>
      </c>
      <c r="F621" s="22">
        <v>0.0</v>
      </c>
      <c r="G621" s="21">
        <f t="shared" si="617"/>
        <v>0</v>
      </c>
      <c r="H621" s="22">
        <v>0.0</v>
      </c>
      <c r="I621" s="21">
        <f t="shared" si="618"/>
        <v>0</v>
      </c>
      <c r="J621" s="21">
        <f t="shared" ref="J621:K621" si="639">D621+F621+H621</f>
        <v>3</v>
      </c>
      <c r="K621" s="21">
        <f t="shared" si="639"/>
        <v>477</v>
      </c>
      <c r="L621" s="23"/>
    </row>
    <row r="622" ht="15.75" customHeight="1">
      <c r="A622" s="20" t="s">
        <v>33</v>
      </c>
      <c r="B622" s="20" t="s">
        <v>35</v>
      </c>
      <c r="C622" s="21">
        <v>159.0</v>
      </c>
      <c r="D622" s="22">
        <v>0.0</v>
      </c>
      <c r="E622" s="21">
        <f t="shared" si="616"/>
        <v>0</v>
      </c>
      <c r="F622" s="22">
        <v>0.0</v>
      </c>
      <c r="G622" s="21">
        <f t="shared" si="617"/>
        <v>0</v>
      </c>
      <c r="H622" s="22">
        <v>0.0</v>
      </c>
      <c r="I622" s="21">
        <f t="shared" si="618"/>
        <v>0</v>
      </c>
      <c r="J622" s="21">
        <f t="shared" ref="J622:K622" si="640">D622+F622+H622</f>
        <v>0</v>
      </c>
      <c r="K622" s="21">
        <f t="shared" si="640"/>
        <v>0</v>
      </c>
      <c r="L622" s="23"/>
    </row>
    <row r="623" ht="15.75" customHeight="1">
      <c r="A623" s="20" t="s">
        <v>33</v>
      </c>
      <c r="B623" s="20" t="s">
        <v>36</v>
      </c>
      <c r="C623" s="21">
        <v>159.0</v>
      </c>
      <c r="D623" s="24">
        <v>2.0</v>
      </c>
      <c r="E623" s="21">
        <f t="shared" si="616"/>
        <v>318</v>
      </c>
      <c r="F623" s="22">
        <v>0.0</v>
      </c>
      <c r="G623" s="21">
        <f t="shared" si="617"/>
        <v>0</v>
      </c>
      <c r="H623" s="22">
        <v>0.0</v>
      </c>
      <c r="I623" s="21">
        <f t="shared" si="618"/>
        <v>0</v>
      </c>
      <c r="J623" s="21">
        <f t="shared" ref="J623:K623" si="641">D623+F623+H623</f>
        <v>2</v>
      </c>
      <c r="K623" s="21">
        <f t="shared" si="641"/>
        <v>318</v>
      </c>
      <c r="L623" s="23"/>
    </row>
    <row r="624" ht="15.75" customHeight="1">
      <c r="A624" s="20" t="s">
        <v>33</v>
      </c>
      <c r="B624" s="20" t="s">
        <v>37</v>
      </c>
      <c r="C624" s="21">
        <v>159.0</v>
      </c>
      <c r="D624" s="22">
        <v>0.0</v>
      </c>
      <c r="E624" s="21">
        <f t="shared" si="616"/>
        <v>0</v>
      </c>
      <c r="F624" s="22">
        <v>0.0</v>
      </c>
      <c r="G624" s="21">
        <f t="shared" si="617"/>
        <v>0</v>
      </c>
      <c r="H624" s="22">
        <v>0.0</v>
      </c>
      <c r="I624" s="21">
        <f t="shared" si="618"/>
        <v>0</v>
      </c>
      <c r="J624" s="21">
        <f t="shared" ref="J624:K624" si="642">D624+F624+H624</f>
        <v>0</v>
      </c>
      <c r="K624" s="21">
        <f t="shared" si="642"/>
        <v>0</v>
      </c>
      <c r="L624" s="23"/>
    </row>
    <row r="625" ht="15.75" customHeight="1">
      <c r="A625" s="20" t="s">
        <v>38</v>
      </c>
      <c r="B625" s="20" t="s">
        <v>31</v>
      </c>
      <c r="C625" s="21">
        <v>99.0</v>
      </c>
      <c r="D625" s="22">
        <v>0.0</v>
      </c>
      <c r="E625" s="21">
        <f t="shared" si="616"/>
        <v>0</v>
      </c>
      <c r="F625" s="22">
        <v>0.0</v>
      </c>
      <c r="G625" s="21">
        <f t="shared" si="617"/>
        <v>0</v>
      </c>
      <c r="H625" s="22">
        <v>0.0</v>
      </c>
      <c r="I625" s="21">
        <f t="shared" si="618"/>
        <v>0</v>
      </c>
      <c r="J625" s="21">
        <f t="shared" ref="J625:K625" si="643">D625+F625+H625</f>
        <v>0</v>
      </c>
      <c r="K625" s="21">
        <f t="shared" si="643"/>
        <v>0</v>
      </c>
      <c r="L625" s="23"/>
    </row>
    <row r="626" ht="15.75" customHeight="1">
      <c r="A626" s="20" t="s">
        <v>38</v>
      </c>
      <c r="B626" s="20" t="s">
        <v>24</v>
      </c>
      <c r="C626" s="21">
        <v>99.0</v>
      </c>
      <c r="D626" s="24">
        <v>1.0</v>
      </c>
      <c r="E626" s="21">
        <f t="shared" si="616"/>
        <v>99</v>
      </c>
      <c r="F626" s="22">
        <v>0.0</v>
      </c>
      <c r="G626" s="21">
        <f t="shared" si="617"/>
        <v>0</v>
      </c>
      <c r="H626" s="22">
        <v>0.0</v>
      </c>
      <c r="I626" s="21">
        <f t="shared" si="618"/>
        <v>0</v>
      </c>
      <c r="J626" s="21">
        <f t="shared" ref="J626:K626" si="644">D626+F626+H626</f>
        <v>1</v>
      </c>
      <c r="K626" s="21">
        <f t="shared" si="644"/>
        <v>99</v>
      </c>
      <c r="L626" s="23"/>
    </row>
    <row r="627" ht="15.75" customHeight="1">
      <c r="A627" s="20" t="s">
        <v>38</v>
      </c>
      <c r="B627" s="20" t="s">
        <v>39</v>
      </c>
      <c r="C627" s="21">
        <v>99.0</v>
      </c>
      <c r="D627" s="22">
        <v>0.0</v>
      </c>
      <c r="E627" s="21">
        <f t="shared" si="616"/>
        <v>0</v>
      </c>
      <c r="F627" s="22">
        <v>0.0</v>
      </c>
      <c r="G627" s="21">
        <f t="shared" si="617"/>
        <v>0</v>
      </c>
      <c r="H627" s="22">
        <v>0.0</v>
      </c>
      <c r="I627" s="21">
        <f t="shared" si="618"/>
        <v>0</v>
      </c>
      <c r="J627" s="21">
        <f t="shared" ref="J627:K627" si="645">D627+F627+H627</f>
        <v>0</v>
      </c>
      <c r="K627" s="21">
        <f t="shared" si="645"/>
        <v>0</v>
      </c>
      <c r="L627" s="23"/>
    </row>
    <row r="628" ht="15.75" customHeight="1">
      <c r="A628" s="20" t="s">
        <v>38</v>
      </c>
      <c r="B628" s="20" t="s">
        <v>40</v>
      </c>
      <c r="C628" s="21">
        <v>99.0</v>
      </c>
      <c r="D628" s="24">
        <v>1.0</v>
      </c>
      <c r="E628" s="21">
        <f t="shared" si="616"/>
        <v>99</v>
      </c>
      <c r="F628" s="22">
        <v>0.0</v>
      </c>
      <c r="G628" s="21">
        <f t="shared" si="617"/>
        <v>0</v>
      </c>
      <c r="H628" s="22">
        <v>0.0</v>
      </c>
      <c r="I628" s="21">
        <f t="shared" si="618"/>
        <v>0</v>
      </c>
      <c r="J628" s="21">
        <f t="shared" ref="J628:K628" si="646">D628+F628+H628</f>
        <v>1</v>
      </c>
      <c r="K628" s="21">
        <f t="shared" si="646"/>
        <v>99</v>
      </c>
      <c r="L628" s="23"/>
    </row>
    <row r="629" ht="15.75" customHeight="1">
      <c r="A629" s="20" t="s">
        <v>38</v>
      </c>
      <c r="B629" s="20" t="s">
        <v>41</v>
      </c>
      <c r="C629" s="21">
        <v>99.0</v>
      </c>
      <c r="D629" s="22">
        <v>0.0</v>
      </c>
      <c r="E629" s="21">
        <f t="shared" si="616"/>
        <v>0</v>
      </c>
      <c r="F629" s="22">
        <v>0.0</v>
      </c>
      <c r="G629" s="21">
        <f t="shared" si="617"/>
        <v>0</v>
      </c>
      <c r="H629" s="22">
        <v>0.0</v>
      </c>
      <c r="I629" s="21">
        <f t="shared" si="618"/>
        <v>0</v>
      </c>
      <c r="J629" s="21">
        <f t="shared" ref="J629:K629" si="647">D629+F629+H629</f>
        <v>0</v>
      </c>
      <c r="K629" s="21">
        <f t="shared" si="647"/>
        <v>0</v>
      </c>
      <c r="L629" s="23"/>
    </row>
    <row r="630" ht="15.75" customHeight="1">
      <c r="A630" s="20" t="s">
        <v>42</v>
      </c>
      <c r="B630" s="20" t="s">
        <v>43</v>
      </c>
      <c r="C630" s="21">
        <v>149.0</v>
      </c>
      <c r="D630" s="22">
        <v>0.0</v>
      </c>
      <c r="E630" s="21">
        <f t="shared" si="616"/>
        <v>0</v>
      </c>
      <c r="F630" s="24">
        <v>1.0</v>
      </c>
      <c r="G630" s="21">
        <f t="shared" si="617"/>
        <v>149</v>
      </c>
      <c r="H630" s="22">
        <v>0.0</v>
      </c>
      <c r="I630" s="21">
        <f t="shared" si="618"/>
        <v>0</v>
      </c>
      <c r="J630" s="21">
        <f t="shared" ref="J630:K630" si="648">D630+F630+H630</f>
        <v>1</v>
      </c>
      <c r="K630" s="21">
        <f t="shared" si="648"/>
        <v>149</v>
      </c>
      <c r="L630" s="23"/>
    </row>
    <row r="631" ht="15.75" customHeight="1">
      <c r="A631" s="20" t="s">
        <v>42</v>
      </c>
      <c r="B631" s="20" t="s">
        <v>44</v>
      </c>
      <c r="C631" s="21">
        <v>149.0</v>
      </c>
      <c r="D631" s="22">
        <v>0.0</v>
      </c>
      <c r="E631" s="21">
        <f t="shared" si="616"/>
        <v>0</v>
      </c>
      <c r="F631" s="22">
        <v>0.0</v>
      </c>
      <c r="G631" s="21">
        <f t="shared" si="617"/>
        <v>0</v>
      </c>
      <c r="H631" s="22">
        <v>0.0</v>
      </c>
      <c r="I631" s="21">
        <f t="shared" si="618"/>
        <v>0</v>
      </c>
      <c r="J631" s="21">
        <f t="shared" ref="J631:K631" si="649">D631+F631+H631</f>
        <v>0</v>
      </c>
      <c r="K631" s="21">
        <f t="shared" si="649"/>
        <v>0</v>
      </c>
      <c r="L631" s="23"/>
    </row>
    <row r="632" ht="15.75" customHeight="1">
      <c r="A632" s="20" t="s">
        <v>42</v>
      </c>
      <c r="B632" s="20" t="s">
        <v>45</v>
      </c>
      <c r="C632" s="21">
        <v>149.0</v>
      </c>
      <c r="D632" s="22">
        <v>0.0</v>
      </c>
      <c r="E632" s="21">
        <f t="shared" si="616"/>
        <v>0</v>
      </c>
      <c r="F632" s="22">
        <v>0.0</v>
      </c>
      <c r="G632" s="21">
        <f t="shared" si="617"/>
        <v>0</v>
      </c>
      <c r="H632" s="22">
        <v>0.0</v>
      </c>
      <c r="I632" s="21">
        <f t="shared" si="618"/>
        <v>0</v>
      </c>
      <c r="J632" s="21">
        <f t="shared" ref="J632:K632" si="650">D632+F632+H632</f>
        <v>0</v>
      </c>
      <c r="K632" s="21">
        <f t="shared" si="650"/>
        <v>0</v>
      </c>
      <c r="L632" s="23"/>
    </row>
    <row r="633" ht="15.75" customHeight="1">
      <c r="A633" s="20" t="s">
        <v>42</v>
      </c>
      <c r="B633" s="20" t="s">
        <v>46</v>
      </c>
      <c r="C633" s="21">
        <v>149.0</v>
      </c>
      <c r="D633" s="22">
        <v>0.0</v>
      </c>
      <c r="E633" s="21">
        <f t="shared" si="616"/>
        <v>0</v>
      </c>
      <c r="F633" s="22">
        <v>0.0</v>
      </c>
      <c r="G633" s="21">
        <f t="shared" si="617"/>
        <v>0</v>
      </c>
      <c r="H633" s="22">
        <v>0.0</v>
      </c>
      <c r="I633" s="21">
        <f t="shared" si="618"/>
        <v>0</v>
      </c>
      <c r="J633" s="21">
        <f t="shared" ref="J633:K633" si="651">D633+F633+H633</f>
        <v>0</v>
      </c>
      <c r="K633" s="21">
        <f t="shared" si="651"/>
        <v>0</v>
      </c>
      <c r="L633" s="23"/>
    </row>
    <row r="634" ht="15.75" customHeight="1">
      <c r="A634" s="20" t="s">
        <v>47</v>
      </c>
      <c r="B634" s="20" t="s">
        <v>48</v>
      </c>
      <c r="C634" s="21">
        <v>25.0</v>
      </c>
      <c r="D634" s="24">
        <v>4.0</v>
      </c>
      <c r="E634" s="21">
        <f t="shared" si="616"/>
        <v>100</v>
      </c>
      <c r="F634" s="22">
        <v>0.0</v>
      </c>
      <c r="G634" s="21">
        <f t="shared" si="617"/>
        <v>0</v>
      </c>
      <c r="H634" s="22">
        <v>0.0</v>
      </c>
      <c r="I634" s="21">
        <f t="shared" si="618"/>
        <v>0</v>
      </c>
      <c r="J634" s="21">
        <f t="shared" ref="J634:K634" si="652">D634+F634+H634</f>
        <v>4</v>
      </c>
      <c r="K634" s="21">
        <f t="shared" si="652"/>
        <v>100</v>
      </c>
      <c r="L634" s="23"/>
    </row>
    <row r="635" ht="15.75" customHeight="1">
      <c r="A635" s="20" t="s">
        <v>47</v>
      </c>
      <c r="B635" s="20" t="s">
        <v>49</v>
      </c>
      <c r="C635" s="21">
        <v>20.0</v>
      </c>
      <c r="D635" s="22">
        <v>0.0</v>
      </c>
      <c r="E635" s="21">
        <f t="shared" si="616"/>
        <v>0</v>
      </c>
      <c r="F635" s="22">
        <v>0.0</v>
      </c>
      <c r="G635" s="21">
        <f t="shared" si="617"/>
        <v>0</v>
      </c>
      <c r="H635" s="22">
        <v>0.0</v>
      </c>
      <c r="I635" s="21">
        <f t="shared" si="618"/>
        <v>0</v>
      </c>
      <c r="J635" s="21">
        <f t="shared" ref="J635:K635" si="653">D635+F635+H635</f>
        <v>0</v>
      </c>
      <c r="K635" s="21">
        <f t="shared" si="653"/>
        <v>0</v>
      </c>
      <c r="L635" s="23"/>
    </row>
    <row r="636" ht="15.75" customHeight="1">
      <c r="A636" s="20" t="s">
        <v>47</v>
      </c>
      <c r="B636" s="20" t="s">
        <v>50</v>
      </c>
      <c r="C636" s="21">
        <v>20.0</v>
      </c>
      <c r="D636" s="22">
        <v>0.0</v>
      </c>
      <c r="E636" s="21">
        <f t="shared" si="616"/>
        <v>0</v>
      </c>
      <c r="F636" s="22">
        <v>0.0</v>
      </c>
      <c r="G636" s="21">
        <f t="shared" si="617"/>
        <v>0</v>
      </c>
      <c r="H636" s="22">
        <v>0.0</v>
      </c>
      <c r="I636" s="21">
        <f t="shared" si="618"/>
        <v>0</v>
      </c>
      <c r="J636" s="21">
        <f t="shared" ref="J636:K636" si="654">D636+F636+H636</f>
        <v>0</v>
      </c>
      <c r="K636" s="21">
        <f t="shared" si="654"/>
        <v>0</v>
      </c>
      <c r="L636" s="23"/>
    </row>
    <row r="637" ht="15.75" customHeight="1">
      <c r="A637" s="20" t="s">
        <v>47</v>
      </c>
      <c r="B637" s="20" t="s">
        <v>51</v>
      </c>
      <c r="C637" s="21">
        <v>20.0</v>
      </c>
      <c r="D637" s="24">
        <v>2.0</v>
      </c>
      <c r="E637" s="21">
        <f t="shared" si="616"/>
        <v>40</v>
      </c>
      <c r="F637" s="22">
        <v>0.0</v>
      </c>
      <c r="G637" s="21">
        <f t="shared" si="617"/>
        <v>0</v>
      </c>
      <c r="H637" s="22">
        <v>0.0</v>
      </c>
      <c r="I637" s="21">
        <f t="shared" si="618"/>
        <v>0</v>
      </c>
      <c r="J637" s="21">
        <f t="shared" ref="J637:K637" si="655">D637+F637+H637</f>
        <v>2</v>
      </c>
      <c r="K637" s="21">
        <f t="shared" si="655"/>
        <v>40</v>
      </c>
      <c r="L637" s="23"/>
    </row>
    <row r="638" ht="15.75" customHeight="1">
      <c r="A638" s="20" t="s">
        <v>47</v>
      </c>
      <c r="B638" s="20" t="s">
        <v>52</v>
      </c>
      <c r="C638" s="21">
        <v>25.0</v>
      </c>
      <c r="D638" s="22">
        <v>0.0</v>
      </c>
      <c r="E638" s="21">
        <f t="shared" si="616"/>
        <v>0</v>
      </c>
      <c r="F638" s="22">
        <v>0.0</v>
      </c>
      <c r="G638" s="21">
        <f t="shared" si="617"/>
        <v>0</v>
      </c>
      <c r="H638" s="22">
        <v>0.0</v>
      </c>
      <c r="I638" s="21">
        <f t="shared" si="618"/>
        <v>0</v>
      </c>
      <c r="J638" s="21">
        <f t="shared" ref="J638:K638" si="656">D638+F638+H638</f>
        <v>0</v>
      </c>
      <c r="K638" s="21">
        <f t="shared" si="656"/>
        <v>0</v>
      </c>
      <c r="L638" s="23"/>
    </row>
    <row r="639" ht="15.75" customHeight="1">
      <c r="A639" s="20" t="s">
        <v>47</v>
      </c>
      <c r="B639" s="20" t="s">
        <v>53</v>
      </c>
      <c r="C639" s="21">
        <v>20.0</v>
      </c>
      <c r="D639" s="22">
        <v>0.0</v>
      </c>
      <c r="E639" s="21">
        <f t="shared" si="616"/>
        <v>0</v>
      </c>
      <c r="F639" s="22">
        <v>0.0</v>
      </c>
      <c r="G639" s="21">
        <f t="shared" si="617"/>
        <v>0</v>
      </c>
      <c r="H639" s="22">
        <v>0.0</v>
      </c>
      <c r="I639" s="21">
        <f t="shared" si="618"/>
        <v>0</v>
      </c>
      <c r="J639" s="21">
        <f t="shared" ref="J639:K639" si="657">D639+F639+H639</f>
        <v>0</v>
      </c>
      <c r="K639" s="21">
        <f t="shared" si="657"/>
        <v>0</v>
      </c>
      <c r="L639" s="23"/>
    </row>
    <row r="640" ht="15.75" customHeight="1">
      <c r="A640" s="20" t="s">
        <v>54</v>
      </c>
      <c r="B640" s="20" t="s">
        <v>55</v>
      </c>
      <c r="C640" s="21">
        <v>149.0</v>
      </c>
      <c r="D640" s="24">
        <v>2.0</v>
      </c>
      <c r="E640" s="21">
        <f t="shared" si="616"/>
        <v>298</v>
      </c>
      <c r="F640" s="24">
        <v>1.0</v>
      </c>
      <c r="G640" s="21">
        <f t="shared" si="617"/>
        <v>149</v>
      </c>
      <c r="H640" s="22">
        <v>0.0</v>
      </c>
      <c r="I640" s="21">
        <f t="shared" si="618"/>
        <v>0</v>
      </c>
      <c r="J640" s="21">
        <f t="shared" ref="J640:K640" si="658">D640+F640+H640</f>
        <v>3</v>
      </c>
      <c r="K640" s="21">
        <f t="shared" si="658"/>
        <v>447</v>
      </c>
      <c r="L640" s="23"/>
    </row>
    <row r="641" ht="15.75" customHeight="1">
      <c r="A641" s="20" t="s">
        <v>54</v>
      </c>
      <c r="B641" s="20" t="s">
        <v>56</v>
      </c>
      <c r="C641" s="21">
        <v>149.0</v>
      </c>
      <c r="D641" s="22">
        <v>0.0</v>
      </c>
      <c r="E641" s="21">
        <f t="shared" si="616"/>
        <v>0</v>
      </c>
      <c r="F641" s="22">
        <v>0.0</v>
      </c>
      <c r="G641" s="21">
        <f t="shared" si="617"/>
        <v>0</v>
      </c>
      <c r="H641" s="22">
        <v>0.0</v>
      </c>
      <c r="I641" s="21">
        <f t="shared" si="618"/>
        <v>0</v>
      </c>
      <c r="J641" s="21">
        <f t="shared" ref="J641:K641" si="659">D641+F641+H641</f>
        <v>0</v>
      </c>
      <c r="K641" s="21">
        <f t="shared" si="659"/>
        <v>0</v>
      </c>
      <c r="L641" s="23"/>
    </row>
    <row r="642" ht="15.75" customHeight="1">
      <c r="A642" s="20" t="s">
        <v>54</v>
      </c>
      <c r="B642" s="20" t="s">
        <v>57</v>
      </c>
      <c r="C642" s="21">
        <v>149.0</v>
      </c>
      <c r="D642" s="22">
        <v>0.0</v>
      </c>
      <c r="E642" s="21">
        <f t="shared" si="616"/>
        <v>0</v>
      </c>
      <c r="F642" s="22">
        <v>0.0</v>
      </c>
      <c r="G642" s="21">
        <f t="shared" si="617"/>
        <v>0</v>
      </c>
      <c r="H642" s="22">
        <v>0.0</v>
      </c>
      <c r="I642" s="21">
        <f t="shared" si="618"/>
        <v>0</v>
      </c>
      <c r="J642" s="21">
        <f t="shared" ref="J642:K642" si="660">D642+F642+H642</f>
        <v>0</v>
      </c>
      <c r="K642" s="21">
        <f t="shared" si="660"/>
        <v>0</v>
      </c>
      <c r="L642" s="23"/>
    </row>
    <row r="643" ht="15.75" customHeight="1">
      <c r="A643" s="25" t="s">
        <v>58</v>
      </c>
      <c r="B643" s="26"/>
      <c r="C643" s="26"/>
      <c r="D643" s="26"/>
      <c r="E643" s="27">
        <f>SUM(E600:E642)</f>
        <v>1580</v>
      </c>
      <c r="F643" s="26"/>
      <c r="G643" s="27">
        <f>SUM(G600:G642)</f>
        <v>447</v>
      </c>
      <c r="H643" s="26"/>
      <c r="I643" s="27">
        <f t="shared" ref="I643:K643" si="661">SUM(I600:I642)</f>
        <v>0</v>
      </c>
      <c r="J643" s="27">
        <f t="shared" si="661"/>
        <v>19</v>
      </c>
      <c r="K643" s="27">
        <f t="shared" si="661"/>
        <v>2027</v>
      </c>
      <c r="L643" s="28">
        <v>46014.0</v>
      </c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5" width="15.71"/>
    <col customWidth="1" min="6" max="6" width="19.14"/>
  </cols>
  <sheetData>
    <row r="1">
      <c r="A1" s="1" t="s">
        <v>11</v>
      </c>
      <c r="B1" s="1" t="s">
        <v>4</v>
      </c>
      <c r="C1" s="1" t="s">
        <v>6</v>
      </c>
      <c r="D1" s="1" t="s">
        <v>8</v>
      </c>
      <c r="E1" s="1" t="s">
        <v>10</v>
      </c>
      <c r="F1" s="29" t="s">
        <v>59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>
        <v>45902.0</v>
      </c>
      <c r="B2" s="21">
        <v>1800.0</v>
      </c>
      <c r="C2" s="21">
        <v>149.0</v>
      </c>
      <c r="D2" s="21">
        <v>0.0</v>
      </c>
      <c r="E2" s="3">
        <f t="shared" ref="E2:E30" si="1">SUM(B2:C2:D2)</f>
        <v>1949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0">
        <v>45903.0</v>
      </c>
      <c r="B3" s="21">
        <v>2035.0</v>
      </c>
      <c r="C3" s="21">
        <v>457.0</v>
      </c>
      <c r="D3" s="21">
        <v>0.0</v>
      </c>
      <c r="E3" s="3">
        <f t="shared" si="1"/>
        <v>2492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0">
        <v>45904.0</v>
      </c>
      <c r="B4" s="21">
        <v>1500.0</v>
      </c>
      <c r="C4" s="21">
        <v>0.0</v>
      </c>
      <c r="D4" s="21">
        <v>338.0</v>
      </c>
      <c r="E4" s="3">
        <f t="shared" si="1"/>
        <v>1838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0">
        <v>45905.0</v>
      </c>
      <c r="B5" s="21">
        <v>2978.0</v>
      </c>
      <c r="C5" s="21">
        <v>0.0</v>
      </c>
      <c r="D5" s="21">
        <v>0.0</v>
      </c>
      <c r="E5" s="3">
        <f t="shared" si="1"/>
        <v>2978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0">
        <v>45906.0</v>
      </c>
      <c r="B6" s="21">
        <v>0.0</v>
      </c>
      <c r="C6" s="21">
        <v>1023.0</v>
      </c>
      <c r="D6" s="21">
        <v>0.0</v>
      </c>
      <c r="E6" s="3">
        <f t="shared" si="1"/>
        <v>1023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0">
        <v>45907.0</v>
      </c>
      <c r="B7" s="21">
        <v>0.0</v>
      </c>
      <c r="C7" s="21">
        <v>0.0</v>
      </c>
      <c r="D7" s="21">
        <v>0.0</v>
      </c>
      <c r="E7" s="3">
        <f t="shared" si="1"/>
        <v>0</v>
      </c>
      <c r="F7" s="31" t="s">
        <v>60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0">
        <v>45908.0</v>
      </c>
      <c r="B8" s="21">
        <v>0.0</v>
      </c>
      <c r="C8" s="21">
        <v>0.0</v>
      </c>
      <c r="D8" s="21">
        <v>0.0</v>
      </c>
      <c r="E8" s="3">
        <f t="shared" si="1"/>
        <v>0</v>
      </c>
      <c r="F8" s="31" t="s">
        <v>60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0">
        <v>45909.0</v>
      </c>
      <c r="B9" s="21">
        <v>1000.0</v>
      </c>
      <c r="C9" s="21">
        <v>0.0</v>
      </c>
      <c r="D9" s="21">
        <v>0.0</v>
      </c>
      <c r="E9" s="3">
        <f t="shared" si="1"/>
        <v>1000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0">
        <v>45910.0</v>
      </c>
      <c r="B10" s="21">
        <v>298.0</v>
      </c>
      <c r="C10" s="21">
        <v>234.0</v>
      </c>
      <c r="D10" s="21">
        <v>0.0</v>
      </c>
      <c r="E10" s="3">
        <f t="shared" si="1"/>
        <v>532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0">
        <v>45911.0</v>
      </c>
      <c r="B11" s="21">
        <v>1420.0</v>
      </c>
      <c r="C11" s="21">
        <v>0.0</v>
      </c>
      <c r="D11" s="21">
        <v>0.0</v>
      </c>
      <c r="E11" s="3">
        <f t="shared" si="1"/>
        <v>1420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0">
        <v>45912.0</v>
      </c>
      <c r="B12" s="21">
        <v>0.0</v>
      </c>
      <c r="C12" s="21">
        <v>0.0</v>
      </c>
      <c r="D12" s="21">
        <v>0.0</v>
      </c>
      <c r="E12" s="3">
        <f t="shared" si="1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0">
        <v>45913.0</v>
      </c>
      <c r="B13" s="21">
        <v>1089.0</v>
      </c>
      <c r="C13" s="21">
        <v>0.0</v>
      </c>
      <c r="D13" s="21">
        <v>0.0</v>
      </c>
      <c r="E13" s="3">
        <f t="shared" si="1"/>
        <v>1089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0">
        <v>45914.0</v>
      </c>
      <c r="B14" s="21">
        <v>0.0</v>
      </c>
      <c r="C14" s="21">
        <v>0.0</v>
      </c>
      <c r="D14" s="21">
        <v>0.0</v>
      </c>
      <c r="E14" s="3">
        <f t="shared" si="1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0">
        <v>45915.0</v>
      </c>
      <c r="B15" s="21">
        <v>1613.0</v>
      </c>
      <c r="C15" s="21">
        <v>0.0</v>
      </c>
      <c r="D15" s="21">
        <v>0.0</v>
      </c>
      <c r="E15" s="3">
        <f t="shared" si="1"/>
        <v>1613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0">
        <v>45916.0</v>
      </c>
      <c r="B16" s="21">
        <v>1889.0</v>
      </c>
      <c r="C16" s="21">
        <v>0.0</v>
      </c>
      <c r="D16" s="21">
        <v>0.0</v>
      </c>
      <c r="E16" s="3">
        <f t="shared" si="1"/>
        <v>1889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0">
        <v>45917.0</v>
      </c>
      <c r="B17" s="21">
        <v>1200.0</v>
      </c>
      <c r="C17" s="21">
        <v>0.0</v>
      </c>
      <c r="D17" s="21">
        <v>567.0</v>
      </c>
      <c r="E17" s="3">
        <f t="shared" si="1"/>
        <v>1767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0">
        <v>45918.0</v>
      </c>
      <c r="B18" s="21">
        <v>2150.0</v>
      </c>
      <c r="C18" s="21">
        <v>0.0</v>
      </c>
      <c r="D18" s="21">
        <v>2126.0</v>
      </c>
      <c r="E18" s="3">
        <f t="shared" si="1"/>
        <v>4276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0">
        <v>45919.0</v>
      </c>
      <c r="B19" s="21">
        <v>1200.0</v>
      </c>
      <c r="C19" s="21">
        <v>477.0</v>
      </c>
      <c r="D19" s="21">
        <v>934.0</v>
      </c>
      <c r="E19" s="3">
        <f t="shared" si="1"/>
        <v>2611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0">
        <v>45920.0</v>
      </c>
      <c r="B20" s="21">
        <v>800.0</v>
      </c>
      <c r="C20" s="21">
        <v>318.0</v>
      </c>
      <c r="D20" s="21">
        <v>0.0</v>
      </c>
      <c r="E20" s="3">
        <f t="shared" si="1"/>
        <v>1118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0">
        <v>45921.0</v>
      </c>
      <c r="B21" s="21">
        <v>0.0</v>
      </c>
      <c r="C21" s="21">
        <v>0.0</v>
      </c>
      <c r="D21" s="21">
        <v>0.0</v>
      </c>
      <c r="E21" s="3">
        <f t="shared" si="1"/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0">
        <v>45922.0</v>
      </c>
      <c r="B22" s="21">
        <v>1400.0</v>
      </c>
      <c r="C22" s="21">
        <v>837.0</v>
      </c>
      <c r="D22" s="21">
        <v>338.0</v>
      </c>
      <c r="E22" s="3">
        <f t="shared" si="1"/>
        <v>2575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0">
        <v>45923.0</v>
      </c>
      <c r="B23" s="21">
        <v>700.0</v>
      </c>
      <c r="C23" s="21">
        <v>0.0</v>
      </c>
      <c r="D23" s="21">
        <v>0.0</v>
      </c>
      <c r="E23" s="3">
        <f t="shared" si="1"/>
        <v>700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0">
        <v>45924.0</v>
      </c>
      <c r="B24" s="21">
        <v>567.0</v>
      </c>
      <c r="C24" s="21">
        <v>0.0</v>
      </c>
      <c r="D24" s="21">
        <v>534.0</v>
      </c>
      <c r="E24" s="3">
        <f t="shared" si="1"/>
        <v>1101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0">
        <v>45925.0</v>
      </c>
      <c r="B25" s="21">
        <v>2000.0</v>
      </c>
      <c r="C25" s="21">
        <v>0.0</v>
      </c>
      <c r="D25" s="21">
        <v>1083.0</v>
      </c>
      <c r="E25" s="3">
        <f t="shared" si="1"/>
        <v>3083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0">
        <v>45926.0</v>
      </c>
      <c r="B26" s="21">
        <v>0.0</v>
      </c>
      <c r="C26" s="21">
        <v>0.0</v>
      </c>
      <c r="D26" s="21">
        <v>0.0</v>
      </c>
      <c r="E26" s="3">
        <f t="shared" si="1"/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0">
        <v>45927.0</v>
      </c>
      <c r="B27" s="21">
        <v>1258.0</v>
      </c>
      <c r="C27" s="21">
        <v>0.0</v>
      </c>
      <c r="D27" s="21">
        <v>0.0</v>
      </c>
      <c r="E27" s="3">
        <f t="shared" si="1"/>
        <v>1258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0">
        <v>45928.0</v>
      </c>
      <c r="B28" s="21">
        <v>0.0</v>
      </c>
      <c r="C28" s="21">
        <v>0.0</v>
      </c>
      <c r="D28" s="21">
        <v>0.0</v>
      </c>
      <c r="E28" s="3">
        <f t="shared" si="1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0">
        <v>45929.0</v>
      </c>
      <c r="B29" s="21">
        <v>1000.0</v>
      </c>
      <c r="C29" s="21">
        <v>0.0</v>
      </c>
      <c r="D29" s="21">
        <v>0.0</v>
      </c>
      <c r="E29" s="3">
        <f t="shared" si="1"/>
        <v>1000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0">
        <v>45930.0</v>
      </c>
      <c r="B30" s="21">
        <v>1600.0</v>
      </c>
      <c r="C30" s="21">
        <v>0.0</v>
      </c>
      <c r="D30" s="21">
        <v>0.0</v>
      </c>
      <c r="E30" s="3">
        <f t="shared" si="1"/>
        <v>1600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2" t="s">
        <v>61</v>
      </c>
      <c r="B31" s="33">
        <v>29497.0</v>
      </c>
      <c r="C31" s="34">
        <v>3495.0</v>
      </c>
      <c r="D31" s="33">
        <v>5920.0</v>
      </c>
      <c r="E31" s="35">
        <f>SUM(E2:E30)</f>
        <v>38912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" t="s">
        <v>11</v>
      </c>
      <c r="B32" s="1" t="s">
        <v>4</v>
      </c>
      <c r="C32" s="1" t="s">
        <v>6</v>
      </c>
      <c r="D32" s="1" t="s">
        <v>62</v>
      </c>
      <c r="E32" s="1" t="s">
        <v>10</v>
      </c>
      <c r="F32" s="29" t="s">
        <v>59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0">
        <v>45931.0</v>
      </c>
      <c r="B33" s="21">
        <v>1400.0</v>
      </c>
      <c r="C33" s="21">
        <v>0.0</v>
      </c>
      <c r="D33" s="21">
        <v>338.0</v>
      </c>
      <c r="E33" s="3">
        <f t="shared" ref="E33:E63" si="2">sum(B33:C33:D33)</f>
        <v>1738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0">
        <v>45932.0</v>
      </c>
      <c r="B34" s="21">
        <v>1900.0</v>
      </c>
      <c r="C34" s="21">
        <v>298.0</v>
      </c>
      <c r="D34" s="21">
        <v>338.0</v>
      </c>
      <c r="E34" s="3">
        <f t="shared" si="2"/>
        <v>2536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0">
        <v>45933.0</v>
      </c>
      <c r="B35" s="21">
        <v>659.0</v>
      </c>
      <c r="C35" s="21">
        <v>496.0</v>
      </c>
      <c r="D35" s="21">
        <v>0.0</v>
      </c>
      <c r="E35" s="3">
        <f t="shared" si="2"/>
        <v>1155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0">
        <v>45934.0</v>
      </c>
      <c r="B36" s="21">
        <v>576.0</v>
      </c>
      <c r="C36" s="21">
        <v>0.0</v>
      </c>
      <c r="D36" s="21">
        <v>0.0</v>
      </c>
      <c r="E36" s="3">
        <f t="shared" si="2"/>
        <v>576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0">
        <v>45935.0</v>
      </c>
      <c r="B37" s="21">
        <v>0.0</v>
      </c>
      <c r="C37" s="21">
        <v>0.0</v>
      </c>
      <c r="D37" s="21">
        <v>0.0</v>
      </c>
      <c r="E37" s="3">
        <f t="shared" si="2"/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0">
        <v>45936.0</v>
      </c>
      <c r="B38" s="21">
        <v>1490.0</v>
      </c>
      <c r="C38" s="21">
        <v>149.0</v>
      </c>
      <c r="D38" s="21">
        <v>0.0</v>
      </c>
      <c r="E38" s="3">
        <f t="shared" si="2"/>
        <v>1639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0">
        <v>45937.0</v>
      </c>
      <c r="B39" s="21">
        <v>0.0</v>
      </c>
      <c r="C39" s="21">
        <v>0.0</v>
      </c>
      <c r="D39" s="21">
        <v>0.0</v>
      </c>
      <c r="E39" s="3">
        <f t="shared" si="2"/>
        <v>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0">
        <v>45938.0</v>
      </c>
      <c r="B40" s="21">
        <v>850.0</v>
      </c>
      <c r="C40" s="21">
        <v>0.0</v>
      </c>
      <c r="D40" s="21">
        <v>149.0</v>
      </c>
      <c r="E40" s="3">
        <f t="shared" si="2"/>
        <v>999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0">
        <v>45939.0</v>
      </c>
      <c r="B41" s="21">
        <v>567.0</v>
      </c>
      <c r="C41" s="21">
        <v>447.0</v>
      </c>
      <c r="D41" s="21">
        <v>0.0</v>
      </c>
      <c r="E41" s="3">
        <f t="shared" si="2"/>
        <v>1014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0">
        <v>45940.0</v>
      </c>
      <c r="B42" s="21">
        <v>500.0</v>
      </c>
      <c r="C42" s="21">
        <v>0.0</v>
      </c>
      <c r="D42" s="21">
        <v>0.0</v>
      </c>
      <c r="E42" s="3">
        <f t="shared" si="2"/>
        <v>500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0">
        <v>45941.0</v>
      </c>
      <c r="B43" s="21">
        <v>900.0</v>
      </c>
      <c r="C43" s="21">
        <v>0.0</v>
      </c>
      <c r="D43" s="21">
        <v>0.0</v>
      </c>
      <c r="E43" s="3">
        <f t="shared" si="2"/>
        <v>900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0">
        <v>45942.0</v>
      </c>
      <c r="B44" s="21">
        <v>0.0</v>
      </c>
      <c r="C44" s="21">
        <v>0.0</v>
      </c>
      <c r="D44" s="21">
        <v>0.0</v>
      </c>
      <c r="E44" s="3">
        <f t="shared" si="2"/>
        <v>0</v>
      </c>
      <c r="F44" s="31" t="s">
        <v>60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0">
        <v>45943.0</v>
      </c>
      <c r="B45" s="21">
        <v>412.0</v>
      </c>
      <c r="C45" s="21">
        <v>0.0</v>
      </c>
      <c r="D45" s="21">
        <v>0.0</v>
      </c>
      <c r="E45" s="3">
        <f t="shared" si="2"/>
        <v>412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>
        <v>45944.0</v>
      </c>
      <c r="B46" s="21">
        <v>400.0</v>
      </c>
      <c r="C46" s="21">
        <v>0.0</v>
      </c>
      <c r="D46" s="21">
        <v>0.0</v>
      </c>
      <c r="E46" s="3">
        <f t="shared" si="2"/>
        <v>400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0">
        <v>45945.0</v>
      </c>
      <c r="B47" s="21">
        <v>450.0</v>
      </c>
      <c r="C47" s="21">
        <v>0.0</v>
      </c>
      <c r="D47" s="21">
        <v>298.0</v>
      </c>
      <c r="E47" s="3">
        <f t="shared" si="2"/>
        <v>748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0">
        <v>45946.0</v>
      </c>
      <c r="B48" s="21">
        <v>760.0</v>
      </c>
      <c r="C48" s="21">
        <v>0.0</v>
      </c>
      <c r="D48" s="36">
        <v>1268.0</v>
      </c>
      <c r="E48" s="3">
        <f t="shared" si="2"/>
        <v>2028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0">
        <v>45947.0</v>
      </c>
      <c r="B49" s="21">
        <v>308.0</v>
      </c>
      <c r="C49" s="21">
        <v>618.0</v>
      </c>
      <c r="D49" s="21">
        <v>0.0</v>
      </c>
      <c r="E49" s="3">
        <f t="shared" si="2"/>
        <v>926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0">
        <v>45948.0</v>
      </c>
      <c r="B50" s="36">
        <v>1870.0</v>
      </c>
      <c r="C50" s="21">
        <v>0.0</v>
      </c>
      <c r="D50" s="21">
        <v>825.0</v>
      </c>
      <c r="E50" s="37">
        <f t="shared" si="2"/>
        <v>2695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0">
        <v>45949.0</v>
      </c>
      <c r="B51" s="21">
        <v>0.0</v>
      </c>
      <c r="C51" s="21">
        <v>0.0</v>
      </c>
      <c r="D51" s="21">
        <v>0.0</v>
      </c>
      <c r="E51" s="3">
        <f t="shared" si="2"/>
        <v>0</v>
      </c>
      <c r="F51" s="31" t="s">
        <v>60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0">
        <v>45950.0</v>
      </c>
      <c r="B52" s="21">
        <v>746.0</v>
      </c>
      <c r="C52" s="21">
        <v>0.0</v>
      </c>
      <c r="D52" s="21">
        <v>169.0</v>
      </c>
      <c r="E52" s="3">
        <f t="shared" si="2"/>
        <v>915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0">
        <v>45951.0</v>
      </c>
      <c r="B53" s="21">
        <v>785.0</v>
      </c>
      <c r="C53" s="21">
        <v>0.0</v>
      </c>
      <c r="D53" s="21">
        <v>0.0</v>
      </c>
      <c r="E53" s="3">
        <f t="shared" si="2"/>
        <v>785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0">
        <v>45952.0</v>
      </c>
      <c r="B54" s="21">
        <v>303.0</v>
      </c>
      <c r="C54" s="21">
        <v>656.0</v>
      </c>
      <c r="D54" s="21">
        <v>0.0</v>
      </c>
      <c r="E54" s="3">
        <f t="shared" si="2"/>
        <v>959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0">
        <v>45953.0</v>
      </c>
      <c r="B55" s="21">
        <v>450.0</v>
      </c>
      <c r="C55" s="21">
        <v>0.0</v>
      </c>
      <c r="D55" s="21">
        <v>0.0</v>
      </c>
      <c r="E55" s="3">
        <f t="shared" si="2"/>
        <v>450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0">
        <v>45954.0</v>
      </c>
      <c r="B56" s="21">
        <v>492.0</v>
      </c>
      <c r="C56" s="21">
        <v>0.0</v>
      </c>
      <c r="D56" s="21">
        <v>0.0</v>
      </c>
      <c r="E56" s="3">
        <f t="shared" si="2"/>
        <v>492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0">
        <v>45955.0</v>
      </c>
      <c r="B57" s="21">
        <v>748.0</v>
      </c>
      <c r="C57" s="21">
        <v>200.0</v>
      </c>
      <c r="D57" s="21">
        <v>0.0</v>
      </c>
      <c r="E57" s="3">
        <f t="shared" si="2"/>
        <v>948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>
        <v>45956.0</v>
      </c>
      <c r="B58" s="21">
        <v>0.0</v>
      </c>
      <c r="C58" s="21">
        <v>0.0</v>
      </c>
      <c r="D58" s="21">
        <v>0.0</v>
      </c>
      <c r="E58" s="3">
        <f t="shared" si="2"/>
        <v>0</v>
      </c>
      <c r="F58" s="31" t="s">
        <v>60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0">
        <v>45957.0</v>
      </c>
      <c r="B59" s="21">
        <v>280.0</v>
      </c>
      <c r="C59" s="21">
        <v>25.0</v>
      </c>
      <c r="D59" s="21">
        <v>0.0</v>
      </c>
      <c r="E59" s="3">
        <f t="shared" si="2"/>
        <v>305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0">
        <v>45958.0</v>
      </c>
      <c r="B60" s="36">
        <v>1143.0</v>
      </c>
      <c r="C60" s="21">
        <v>0.0</v>
      </c>
      <c r="D60" s="21">
        <v>0.0</v>
      </c>
      <c r="E60" s="37">
        <f t="shared" si="2"/>
        <v>1143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0">
        <v>45959.0</v>
      </c>
      <c r="B61" s="36">
        <v>1913.0</v>
      </c>
      <c r="C61" s="21">
        <v>546.0</v>
      </c>
      <c r="D61" s="21">
        <v>0.0</v>
      </c>
      <c r="E61" s="37">
        <f t="shared" si="2"/>
        <v>2459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0">
        <v>45960.0</v>
      </c>
      <c r="B62" s="21">
        <v>395.0</v>
      </c>
      <c r="C62" s="21">
        <v>507.0</v>
      </c>
      <c r="D62" s="21">
        <v>785.0</v>
      </c>
      <c r="E62" s="3">
        <f t="shared" si="2"/>
        <v>1687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0">
        <v>45961.0</v>
      </c>
      <c r="B63" s="21">
        <v>188.0</v>
      </c>
      <c r="C63" s="21">
        <v>99.0</v>
      </c>
      <c r="D63" s="21">
        <v>0.0</v>
      </c>
      <c r="E63" s="3">
        <f t="shared" si="2"/>
        <v>287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 t="s">
        <v>61</v>
      </c>
      <c r="B64" s="33">
        <v>20485.0</v>
      </c>
      <c r="C64" s="33">
        <v>4041.0</v>
      </c>
      <c r="D64" s="33" t="s">
        <v>63</v>
      </c>
      <c r="E64" s="35">
        <f>sum(E33:E63)</f>
        <v>28696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" t="s">
        <v>11</v>
      </c>
      <c r="B65" s="1" t="s">
        <v>64</v>
      </c>
      <c r="C65" s="1" t="s">
        <v>6</v>
      </c>
      <c r="D65" s="1" t="s">
        <v>62</v>
      </c>
      <c r="E65" s="1" t="s">
        <v>10</v>
      </c>
      <c r="F65" s="29" t="s">
        <v>59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8">
        <v>45962.0</v>
      </c>
      <c r="B66" s="21">
        <v>0.0</v>
      </c>
      <c r="C66" s="21">
        <v>0.0</v>
      </c>
      <c r="D66" s="21">
        <v>0.0</v>
      </c>
      <c r="E66" s="3">
        <f t="shared" ref="E66:E94" si="3">sum(B66:C66:D66)</f>
        <v>0</v>
      </c>
      <c r="F66" s="31" t="s">
        <v>60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8">
        <v>45963.0</v>
      </c>
      <c r="B67" s="21">
        <v>0.0</v>
      </c>
      <c r="C67" s="21">
        <v>0.0</v>
      </c>
      <c r="D67" s="21">
        <v>0.0</v>
      </c>
      <c r="E67" s="3">
        <f t="shared" si="3"/>
        <v>0</v>
      </c>
      <c r="F67" s="31" t="s">
        <v>60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8">
        <v>45964.0</v>
      </c>
      <c r="B68" s="21">
        <v>0.0</v>
      </c>
      <c r="C68" s="21">
        <v>0.0</v>
      </c>
      <c r="D68" s="21">
        <v>0.0</v>
      </c>
      <c r="E68" s="3">
        <f t="shared" si="3"/>
        <v>0</v>
      </c>
      <c r="F68" s="31" t="s">
        <v>60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8">
        <v>45965.0</v>
      </c>
      <c r="B69" s="21">
        <v>0.0</v>
      </c>
      <c r="C69" s="21">
        <v>0.0</v>
      </c>
      <c r="D69" s="21">
        <v>0.0</v>
      </c>
      <c r="E69" s="3">
        <f t="shared" si="3"/>
        <v>0</v>
      </c>
      <c r="F69" s="31" t="s">
        <v>60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8">
        <v>45966.0</v>
      </c>
      <c r="B70" s="21">
        <v>0.0</v>
      </c>
      <c r="C70" s="21">
        <v>0.0</v>
      </c>
      <c r="D70" s="21">
        <v>0.0</v>
      </c>
      <c r="E70" s="3">
        <f t="shared" si="3"/>
        <v>0</v>
      </c>
      <c r="F70" s="31" t="s">
        <v>60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8">
        <v>45967.0</v>
      </c>
      <c r="B71" s="21">
        <v>0.0</v>
      </c>
      <c r="C71" s="21">
        <v>0.0</v>
      </c>
      <c r="D71" s="21">
        <v>0.0</v>
      </c>
      <c r="E71" s="3">
        <f t="shared" si="3"/>
        <v>0</v>
      </c>
      <c r="F71" s="31" t="s">
        <v>60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8">
        <v>45968.0</v>
      </c>
      <c r="B72" s="21">
        <v>0.0</v>
      </c>
      <c r="C72" s="21">
        <v>0.0</v>
      </c>
      <c r="D72" s="21">
        <v>0.0</v>
      </c>
      <c r="E72" s="3">
        <f t="shared" si="3"/>
        <v>0</v>
      </c>
      <c r="F72" s="31" t="s">
        <v>60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8">
        <v>45969.0</v>
      </c>
      <c r="B73" s="21">
        <v>0.0</v>
      </c>
      <c r="C73" s="21">
        <v>0.0</v>
      </c>
      <c r="D73" s="21">
        <v>0.0</v>
      </c>
      <c r="E73" s="3">
        <f t="shared" si="3"/>
        <v>0</v>
      </c>
      <c r="F73" s="31" t="s">
        <v>60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8">
        <v>45970.0</v>
      </c>
      <c r="B74" s="21">
        <v>0.0</v>
      </c>
      <c r="C74" s="21">
        <v>0.0</v>
      </c>
      <c r="D74" s="21">
        <v>0.0</v>
      </c>
      <c r="E74" s="3">
        <f t="shared" si="3"/>
        <v>0</v>
      </c>
      <c r="F74" s="31" t="s">
        <v>60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8">
        <v>45971.0</v>
      </c>
      <c r="B75" s="36">
        <v>1481.0</v>
      </c>
      <c r="C75" s="21">
        <v>0.0</v>
      </c>
      <c r="D75" s="21">
        <v>0.0</v>
      </c>
      <c r="E75" s="37">
        <f t="shared" si="3"/>
        <v>1481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8">
        <v>45972.0</v>
      </c>
      <c r="B76" s="21">
        <v>745.0</v>
      </c>
      <c r="C76" s="21">
        <v>894.0</v>
      </c>
      <c r="D76" s="21">
        <v>0.0</v>
      </c>
      <c r="E76" s="3">
        <f t="shared" si="3"/>
        <v>1639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8">
        <v>45973.0</v>
      </c>
      <c r="B77" s="21">
        <v>635.0</v>
      </c>
      <c r="C77" s="21">
        <v>149.0</v>
      </c>
      <c r="D77" s="21">
        <v>363.0</v>
      </c>
      <c r="E77" s="3">
        <f t="shared" si="3"/>
        <v>1147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8">
        <v>45974.0</v>
      </c>
      <c r="B78" s="36">
        <v>2603.0</v>
      </c>
      <c r="C78" s="21">
        <v>522.0</v>
      </c>
      <c r="D78" s="21">
        <v>0.0</v>
      </c>
      <c r="E78" s="37">
        <f t="shared" si="3"/>
        <v>3125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8">
        <v>45975.0</v>
      </c>
      <c r="B79" s="36">
        <v>1445.0</v>
      </c>
      <c r="C79" s="21">
        <v>596.0</v>
      </c>
      <c r="D79" s="21">
        <v>0.0</v>
      </c>
      <c r="E79" s="37">
        <f t="shared" si="3"/>
        <v>2041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8">
        <v>45976.0</v>
      </c>
      <c r="B80" s="21">
        <v>357.0</v>
      </c>
      <c r="C80" s="21">
        <v>0.0</v>
      </c>
      <c r="D80" s="21">
        <v>298.0</v>
      </c>
      <c r="E80" s="3">
        <f t="shared" si="3"/>
        <v>655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8">
        <v>45977.0</v>
      </c>
      <c r="B81" s="21">
        <v>0.0</v>
      </c>
      <c r="C81" s="21">
        <v>0.0</v>
      </c>
      <c r="D81" s="21">
        <v>0.0</v>
      </c>
      <c r="E81" s="3">
        <f t="shared" si="3"/>
        <v>0</v>
      </c>
      <c r="F81" s="31" t="s">
        <v>60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8">
        <v>45978.0</v>
      </c>
      <c r="B82" s="36">
        <v>1566.0</v>
      </c>
      <c r="C82" s="21">
        <v>0.0</v>
      </c>
      <c r="D82" s="21">
        <v>445.0</v>
      </c>
      <c r="E82" s="37">
        <f t="shared" si="3"/>
        <v>2011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8">
        <v>45979.0</v>
      </c>
      <c r="B83" s="36">
        <v>1381.0</v>
      </c>
      <c r="C83" s="21">
        <v>75.0</v>
      </c>
      <c r="D83" s="21">
        <v>248.0</v>
      </c>
      <c r="E83" s="37">
        <f t="shared" si="3"/>
        <v>1704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8">
        <v>45980.0</v>
      </c>
      <c r="B84" s="21">
        <v>930.0</v>
      </c>
      <c r="C84" s="21">
        <v>238.0</v>
      </c>
      <c r="D84" s="21">
        <v>0.0</v>
      </c>
      <c r="E84" s="3">
        <f t="shared" si="3"/>
        <v>1168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8">
        <v>45981.0</v>
      </c>
      <c r="B85" s="21">
        <v>302.0</v>
      </c>
      <c r="C85" s="21">
        <v>0.0</v>
      </c>
      <c r="D85" s="21">
        <v>298.0</v>
      </c>
      <c r="E85" s="3">
        <f t="shared" si="3"/>
        <v>600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8">
        <v>45982.0</v>
      </c>
      <c r="B86" s="36">
        <v>1605.0</v>
      </c>
      <c r="C86" s="21">
        <v>189.0</v>
      </c>
      <c r="D86" s="21">
        <v>338.0</v>
      </c>
      <c r="E86" s="37">
        <f t="shared" si="3"/>
        <v>2132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8">
        <v>45983.0</v>
      </c>
      <c r="B87" s="36">
        <v>745.0</v>
      </c>
      <c r="C87" s="21">
        <v>447.0</v>
      </c>
      <c r="D87" s="21">
        <v>0.0</v>
      </c>
      <c r="E87" s="37">
        <f t="shared" si="3"/>
        <v>1192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8">
        <v>45984.0</v>
      </c>
      <c r="B88" s="21">
        <v>0.0</v>
      </c>
      <c r="C88" s="21">
        <v>0.0</v>
      </c>
      <c r="D88" s="21">
        <v>0.0</v>
      </c>
      <c r="E88" s="3">
        <f t="shared" si="3"/>
        <v>0</v>
      </c>
      <c r="F88" s="31" t="s">
        <v>60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8">
        <v>45985.0</v>
      </c>
      <c r="B89" s="36">
        <v>1465.0</v>
      </c>
      <c r="C89" s="21">
        <v>347.0</v>
      </c>
      <c r="D89" s="21">
        <v>149.0</v>
      </c>
      <c r="E89" s="37">
        <f t="shared" si="3"/>
        <v>1961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8">
        <v>45986.0</v>
      </c>
      <c r="B90" s="21">
        <v>238.0</v>
      </c>
      <c r="C90" s="21">
        <v>298.0</v>
      </c>
      <c r="D90" s="21">
        <v>0.0</v>
      </c>
      <c r="E90" s="3">
        <f t="shared" si="3"/>
        <v>536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8">
        <v>45987.0</v>
      </c>
      <c r="B91" s="21">
        <v>805.0</v>
      </c>
      <c r="C91" s="21">
        <v>0.0</v>
      </c>
      <c r="D91" s="21">
        <v>0.0</v>
      </c>
      <c r="E91" s="3">
        <f t="shared" si="3"/>
        <v>805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8">
        <v>45988.0</v>
      </c>
      <c r="B92" s="36">
        <v>1896.0</v>
      </c>
      <c r="C92" s="21">
        <v>0.0</v>
      </c>
      <c r="D92" s="21">
        <v>0.0</v>
      </c>
      <c r="E92" s="37">
        <f t="shared" si="3"/>
        <v>1896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8">
        <v>45989.0</v>
      </c>
      <c r="B93" s="36">
        <v>2131.0</v>
      </c>
      <c r="C93" s="21">
        <v>0.0</v>
      </c>
      <c r="D93" s="21">
        <v>0.0</v>
      </c>
      <c r="E93" s="37">
        <f t="shared" si="3"/>
        <v>2131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8">
        <v>45990.0</v>
      </c>
      <c r="B94" s="21">
        <v>163.0</v>
      </c>
      <c r="C94" s="21">
        <v>0.0</v>
      </c>
      <c r="D94" s="21">
        <v>149.0</v>
      </c>
      <c r="E94" s="3">
        <f t="shared" si="3"/>
        <v>312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8">
        <v>45991.0</v>
      </c>
      <c r="B95" s="21">
        <v>0.0</v>
      </c>
      <c r="C95" s="21">
        <v>0.0</v>
      </c>
      <c r="D95" s="21">
        <v>0.0</v>
      </c>
      <c r="E95" s="3">
        <f>B95+C95+D95</f>
        <v>0</v>
      </c>
      <c r="F95" s="3" t="s">
        <v>60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 t="s">
        <v>61</v>
      </c>
      <c r="B96" s="33">
        <v>20493.0</v>
      </c>
      <c r="C96" s="33">
        <v>3755.0</v>
      </c>
      <c r="D96" s="33">
        <v>2288.0</v>
      </c>
      <c r="E96" s="35">
        <f>sum(E66:E95)</f>
        <v>26536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" t="s">
        <v>11</v>
      </c>
      <c r="B98" s="1" t="s">
        <v>4</v>
      </c>
      <c r="C98" s="1" t="s">
        <v>6</v>
      </c>
      <c r="D98" s="1" t="s">
        <v>8</v>
      </c>
      <c r="E98" s="1" t="s">
        <v>10</v>
      </c>
      <c r="F98" s="39" t="s">
        <v>65</v>
      </c>
      <c r="G98" s="1" t="s">
        <v>66</v>
      </c>
      <c r="H98" s="40" t="s">
        <v>67</v>
      </c>
      <c r="I98" s="29" t="s">
        <v>59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6">
        <v>45992.0</v>
      </c>
      <c r="B99" s="4">
        <v>0.0</v>
      </c>
      <c r="C99" s="4">
        <v>0.0</v>
      </c>
      <c r="D99" s="4">
        <v>0.0</v>
      </c>
      <c r="E99" s="4" t="str">
        <f t="shared" ref="E99:E129" si="4">IF(B99+C99+D99=0,"",B99+C99+D99)</f>
        <v/>
      </c>
      <c r="F99" s="4"/>
      <c r="G99" s="4">
        <f t="shared" ref="G99:G129" si="5">IF(B99="","",B99-IF(F99="",0,F99))</f>
        <v>0</v>
      </c>
      <c r="H99" s="41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6">
        <v>45993.0</v>
      </c>
      <c r="B100" s="4">
        <v>0.0</v>
      </c>
      <c r="C100" s="4">
        <v>0.0</v>
      </c>
      <c r="D100" s="4">
        <v>0.0</v>
      </c>
      <c r="E100" s="4" t="str">
        <f t="shared" si="4"/>
        <v/>
      </c>
      <c r="F100" s="4"/>
      <c r="G100" s="4">
        <f t="shared" si="5"/>
        <v>0</v>
      </c>
      <c r="H100" s="41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6">
        <v>45994.0</v>
      </c>
      <c r="B101" s="4">
        <v>0.0</v>
      </c>
      <c r="C101" s="4">
        <v>0.0</v>
      </c>
      <c r="D101" s="4">
        <v>0.0</v>
      </c>
      <c r="E101" s="4" t="str">
        <f t="shared" si="4"/>
        <v/>
      </c>
      <c r="F101" s="4"/>
      <c r="G101" s="4">
        <f t="shared" si="5"/>
        <v>0</v>
      </c>
      <c r="H101" s="41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6">
        <v>45995.0</v>
      </c>
      <c r="B102" s="4">
        <v>0.0</v>
      </c>
      <c r="C102" s="4">
        <v>0.0</v>
      </c>
      <c r="D102" s="4">
        <v>0.0</v>
      </c>
      <c r="E102" s="4" t="str">
        <f t="shared" si="4"/>
        <v/>
      </c>
      <c r="F102" s="4"/>
      <c r="G102" s="4">
        <f t="shared" si="5"/>
        <v>0</v>
      </c>
      <c r="H102" s="41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6">
        <v>45996.0</v>
      </c>
      <c r="B103" s="4">
        <v>0.0</v>
      </c>
      <c r="C103" s="4">
        <v>0.0</v>
      </c>
      <c r="D103" s="4">
        <v>0.0</v>
      </c>
      <c r="E103" s="4" t="str">
        <f t="shared" si="4"/>
        <v/>
      </c>
      <c r="F103" s="4"/>
      <c r="G103" s="4">
        <f t="shared" si="5"/>
        <v>0</v>
      </c>
      <c r="H103" s="41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6">
        <v>45997.0</v>
      </c>
      <c r="B104" s="4">
        <v>0.0</v>
      </c>
      <c r="C104" s="4">
        <v>0.0</v>
      </c>
      <c r="D104" s="4">
        <v>0.0</v>
      </c>
      <c r="E104" s="4" t="str">
        <f t="shared" si="4"/>
        <v/>
      </c>
      <c r="F104" s="4"/>
      <c r="G104" s="4">
        <f t="shared" si="5"/>
        <v>0</v>
      </c>
      <c r="H104" s="41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6">
        <v>45998.0</v>
      </c>
      <c r="B105" s="4">
        <v>0.0</v>
      </c>
      <c r="C105" s="4">
        <v>0.0</v>
      </c>
      <c r="D105" s="4">
        <v>0.0</v>
      </c>
      <c r="E105" s="4" t="str">
        <f t="shared" si="4"/>
        <v/>
      </c>
      <c r="F105" s="4"/>
      <c r="G105" s="4">
        <f t="shared" si="5"/>
        <v>0</v>
      </c>
      <c r="H105" s="41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6">
        <v>45999.0</v>
      </c>
      <c r="B106" s="14">
        <v>0.0</v>
      </c>
      <c r="C106" s="14">
        <v>0.0</v>
      </c>
      <c r="D106" s="14">
        <v>0.0</v>
      </c>
      <c r="E106" s="31" t="str">
        <f t="shared" si="4"/>
        <v/>
      </c>
      <c r="F106" s="14"/>
      <c r="G106" s="14">
        <f t="shared" si="5"/>
        <v>0</v>
      </c>
      <c r="H106" s="42">
        <v>0.0</v>
      </c>
      <c r="I106" s="43" t="s">
        <v>68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6">
        <v>46000.0</v>
      </c>
      <c r="B107" s="4">
        <v>0.0</v>
      </c>
      <c r="C107" s="4">
        <v>0.0</v>
      </c>
      <c r="D107" s="4">
        <v>0.0</v>
      </c>
      <c r="E107" s="4" t="str">
        <f t="shared" si="4"/>
        <v/>
      </c>
      <c r="F107" s="4"/>
      <c r="G107" s="4">
        <f t="shared" si="5"/>
        <v>0</v>
      </c>
      <c r="H107" s="41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6">
        <v>46001.0</v>
      </c>
      <c r="B108" s="3">
        <f>IFERROR(SUMIF(DailySales!$L:$L,$A108,DailySales!$E:$E),0)</f>
        <v>805</v>
      </c>
      <c r="C108" s="3">
        <f>IFERROR(SUMIF(DailySales!$L:$L,$A108,DailySales!$G:$G),0)</f>
        <v>805</v>
      </c>
      <c r="D108" s="3">
        <f>IFERROR(SUMIF(DailySales!$L:$L,$A108,DailySales!$I:$I),0)</f>
        <v>0</v>
      </c>
      <c r="E108" s="3">
        <f t="shared" si="4"/>
        <v>1610</v>
      </c>
      <c r="F108" s="3">
        <v>50.0</v>
      </c>
      <c r="G108" s="4">
        <f t="shared" si="5"/>
        <v>755</v>
      </c>
      <c r="H108" s="41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6">
        <v>46002.0</v>
      </c>
      <c r="B109" s="3">
        <f>IFERROR(SUMIF(DailySales!$L:$L,$A109,DailySales!$E:$E),0)</f>
        <v>944</v>
      </c>
      <c r="C109" s="3">
        <f>IFERROR(SUMIF(DailySales!$L:$L,$A109,DailySales!$G:$G),0)</f>
        <v>0</v>
      </c>
      <c r="D109" s="3">
        <f>IFERROR(SUMIF(DailySales!$L:$L,$A109,DailySales!$I:$I),0)</f>
        <v>477</v>
      </c>
      <c r="E109" s="3">
        <f t="shared" si="4"/>
        <v>1421</v>
      </c>
      <c r="F109" s="4"/>
      <c r="G109" s="4">
        <f t="shared" si="5"/>
        <v>944</v>
      </c>
      <c r="H109" s="41">
        <v>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6">
        <v>46003.0</v>
      </c>
      <c r="B110" s="3">
        <f>IFERROR(SUMIF(DailySales!$L:$L,$A110,DailySales!$E:$E),0)</f>
        <v>1181</v>
      </c>
      <c r="C110" s="3">
        <f>IFERROR(SUMIF(DailySales!$L:$L,$A110,DailySales!$G:$G),0)</f>
        <v>636</v>
      </c>
      <c r="D110" s="3">
        <f>IFERROR(SUMIF(DailySales!$L:$L,$A110,DailySales!$I:$I),0)</f>
        <v>0</v>
      </c>
      <c r="E110" s="3">
        <f t="shared" si="4"/>
        <v>1817</v>
      </c>
      <c r="F110" s="44">
        <v>200.0</v>
      </c>
      <c r="G110" s="4">
        <f t="shared" si="5"/>
        <v>981</v>
      </c>
      <c r="H110" s="41">
        <v>50.0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6">
        <v>46004.0</v>
      </c>
      <c r="B111" s="3">
        <f>IFERROR(SUMIF(DailySales!$L:$L,$A111,DailySales!$E:$E),0)</f>
        <v>1391</v>
      </c>
      <c r="C111" s="3">
        <f>IFERROR(SUMIF(DailySales!$L:$L,$A111,DailySales!$G:$G),0)</f>
        <v>0</v>
      </c>
      <c r="D111" s="3">
        <f>IFERROR(SUMIF(DailySales!$L:$L,$A111,DailySales!$I:$I),0)</f>
        <v>378</v>
      </c>
      <c r="E111" s="3">
        <f t="shared" si="4"/>
        <v>1769</v>
      </c>
      <c r="F111" s="44">
        <v>770.0</v>
      </c>
      <c r="G111" s="4">
        <f t="shared" si="5"/>
        <v>621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6">
        <v>46005.0</v>
      </c>
      <c r="B112" s="31">
        <f>IFERROR(SUMIF(DailySales!$L:$L,$A112,DailySales!$E:$E),0)</f>
        <v>0</v>
      </c>
      <c r="C112" s="31">
        <f>IFERROR(SUMIF(DailySales!$L:$L,$A112,DailySales!$G:$G),0)</f>
        <v>0</v>
      </c>
      <c r="D112" s="31">
        <f>IFERROR(SUMIF(DailySales!$L:$L,$A112,DailySales!$I:$I),0)</f>
        <v>0</v>
      </c>
      <c r="E112" s="31" t="str">
        <f t="shared" si="4"/>
        <v/>
      </c>
      <c r="F112" s="14"/>
      <c r="G112" s="14">
        <f t="shared" si="5"/>
        <v>0</v>
      </c>
      <c r="H112" s="17"/>
      <c r="I112" s="43" t="s">
        <v>68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6">
        <v>46006.0</v>
      </c>
      <c r="B113" s="3">
        <f>IFERROR(SUMIF(DailySales!$L:$L,$A113,DailySales!$E:$E),0)</f>
        <v>893</v>
      </c>
      <c r="C113" s="3">
        <f>IFERROR(SUMIF(DailySales!$L:$L,$A113,DailySales!$G:$G),0)</f>
        <v>0</v>
      </c>
      <c r="D113" s="3">
        <f>IFERROR(SUMIF(DailySales!$L:$L,$A113,DailySales!$I:$I),0)</f>
        <v>0</v>
      </c>
      <c r="E113" s="3">
        <f t="shared" si="4"/>
        <v>893</v>
      </c>
      <c r="F113" s="4"/>
      <c r="G113" s="4">
        <f t="shared" si="5"/>
        <v>893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6">
        <v>46007.0</v>
      </c>
      <c r="B114" s="31">
        <f>IFERROR(SUMIF(DailySales!$L:$L,$A114,DailySales!$E:$E),0)</f>
        <v>0</v>
      </c>
      <c r="C114" s="31">
        <f>IFERROR(SUMIF(DailySales!$L:$L,$A114,DailySales!$G:$G),0)</f>
        <v>0</v>
      </c>
      <c r="D114" s="31">
        <f>IFERROR(SUMIF(DailySales!$L:$L,$A114,DailySales!$I:$I),0)</f>
        <v>0</v>
      </c>
      <c r="E114" s="31" t="str">
        <f t="shared" si="4"/>
        <v/>
      </c>
      <c r="F114" s="14"/>
      <c r="G114" s="14">
        <f t="shared" si="5"/>
        <v>0</v>
      </c>
      <c r="H114" s="17"/>
      <c r="I114" s="43" t="s">
        <v>68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6">
        <v>46008.0</v>
      </c>
      <c r="B115" s="3">
        <f>IFERROR(SUMIF(DailySales!$L:$L,$A115,DailySales!$E:$E),0)</f>
        <v>1421</v>
      </c>
      <c r="C115" s="3">
        <f>IFERROR(SUMIF(DailySales!$L:$L,$A115,DailySales!$G:$G),0)</f>
        <v>0</v>
      </c>
      <c r="D115" s="3">
        <f>IFERROR(SUMIF(DailySales!$L:$L,$A115,DailySales!$I:$I),0)</f>
        <v>0</v>
      </c>
      <c r="E115" s="3">
        <f t="shared" si="4"/>
        <v>1421</v>
      </c>
      <c r="F115" s="44">
        <v>1260.0</v>
      </c>
      <c r="G115" s="4">
        <f t="shared" si="5"/>
        <v>161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6">
        <v>46009.0</v>
      </c>
      <c r="B116" s="3">
        <f>IFERROR(SUMIF(DailySales!$L:$L,$A116,DailySales!$E:$E),0)</f>
        <v>1580</v>
      </c>
      <c r="C116" s="3">
        <f>IFERROR(SUMIF(DailySales!$L:$L,$A116,DailySales!$G:$G),0)</f>
        <v>1851</v>
      </c>
      <c r="D116" s="3">
        <f>IFERROR(SUMIF(DailySales!$L:$L,$A116,DailySales!$I:$I),0)</f>
        <v>338</v>
      </c>
      <c r="E116" s="3">
        <f t="shared" si="4"/>
        <v>3769</v>
      </c>
      <c r="F116" s="44">
        <v>664.0</v>
      </c>
      <c r="G116" s="4">
        <f t="shared" si="5"/>
        <v>916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6">
        <v>46010.0</v>
      </c>
      <c r="B117" s="3">
        <f>IFERROR(SUMIF(DailySales!$L:$L,$A117,DailySales!$E:$E),0)</f>
        <v>0</v>
      </c>
      <c r="C117" s="3">
        <f>IFERROR(SUMIF(DailySales!$L:$L,$A117,DailySales!$G:$G),0)</f>
        <v>0</v>
      </c>
      <c r="D117" s="3">
        <f>IFERROR(SUMIF(DailySales!$L:$L,$A117,DailySales!$I:$I),0)</f>
        <v>0</v>
      </c>
      <c r="E117" s="3" t="str">
        <f t="shared" si="4"/>
        <v/>
      </c>
      <c r="F117" s="4"/>
      <c r="G117" s="4">
        <f t="shared" si="5"/>
        <v>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6">
        <v>46011.0</v>
      </c>
      <c r="B118" s="3">
        <f>IFERROR(SUMIF(DailySales!$L:$L,$A118,DailySales!$E:$E),0)</f>
        <v>0</v>
      </c>
      <c r="C118" s="3">
        <f>IFERROR(SUMIF(DailySales!$L:$L,$A118,DailySales!$G:$G),0)</f>
        <v>0</v>
      </c>
      <c r="D118" s="3">
        <f>IFERROR(SUMIF(DailySales!$L:$L,$A118,DailySales!$I:$I),0)</f>
        <v>0</v>
      </c>
      <c r="E118" s="3" t="str">
        <f t="shared" si="4"/>
        <v/>
      </c>
      <c r="F118" s="4"/>
      <c r="G118" s="4">
        <f t="shared" si="5"/>
        <v>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6">
        <v>46012.0</v>
      </c>
      <c r="B119" s="3">
        <f>IFERROR(SUMIF(DailySales!$L:$L,$A119,DailySales!$E:$E),0)</f>
        <v>0</v>
      </c>
      <c r="C119" s="3">
        <f>IFERROR(SUMIF(DailySales!$L:$L,$A119,DailySales!$G:$G),0)</f>
        <v>0</v>
      </c>
      <c r="D119" s="3">
        <f>IFERROR(SUMIF(DailySales!$L:$L,$A119,DailySales!$I:$I),0)</f>
        <v>0</v>
      </c>
      <c r="E119" s="3" t="str">
        <f t="shared" si="4"/>
        <v/>
      </c>
      <c r="F119" s="4"/>
      <c r="G119" s="4">
        <f t="shared" si="5"/>
        <v>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6">
        <v>46013.0</v>
      </c>
      <c r="B120" s="3">
        <f>IFERROR(SUMIF(DailySales!$L:$L,$A120,DailySales!$E:$E),0)</f>
        <v>1679</v>
      </c>
      <c r="C120" s="3">
        <f>IFERROR(SUMIF(DailySales!$L:$L,$A120,DailySales!$G:$G),0)</f>
        <v>646</v>
      </c>
      <c r="D120" s="3">
        <f>IFERROR(SUMIF(DailySales!$L:$L,$A120,DailySales!$I:$I),0)</f>
        <v>0</v>
      </c>
      <c r="E120" s="3">
        <f t="shared" si="4"/>
        <v>2325</v>
      </c>
      <c r="F120" s="45">
        <v>1000.0</v>
      </c>
      <c r="G120" s="46">
        <f t="shared" si="5"/>
        <v>679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6">
        <v>46014.0</v>
      </c>
      <c r="B121" s="3">
        <f>IFERROR(SUMIF(DailySales!$L:$L,$A121,DailySales!$E:$E),0)</f>
        <v>1580</v>
      </c>
      <c r="C121" s="3">
        <f>IFERROR(SUMIF(DailySales!$L:$L,$A121,DailySales!$G:$G),0)</f>
        <v>447</v>
      </c>
      <c r="D121" s="3">
        <f>IFERROR(SUMIF(DailySales!$L:$L,$A121,DailySales!$I:$I),0)</f>
        <v>0</v>
      </c>
      <c r="E121" s="3">
        <f t="shared" si="4"/>
        <v>2027</v>
      </c>
      <c r="F121" s="4"/>
      <c r="G121" s="4">
        <f t="shared" si="5"/>
        <v>1580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6">
        <v>46015.0</v>
      </c>
      <c r="B122" s="3">
        <f>IFERROR(SUMIF(DailySales!$L:$L,$A122,DailySales!$E:$E),0)</f>
        <v>0</v>
      </c>
      <c r="C122" s="3">
        <f>IFERROR(SUMIF(DailySales!$L:$L,$A122,DailySales!$G:$G),0)</f>
        <v>0</v>
      </c>
      <c r="D122" s="3">
        <f>IFERROR(SUMIF(DailySales!$L:$L,$A122,DailySales!$I:$I),0)</f>
        <v>0</v>
      </c>
      <c r="E122" s="3" t="str">
        <f t="shared" si="4"/>
        <v/>
      </c>
      <c r="F122" s="4"/>
      <c r="G122" s="4">
        <f t="shared" si="5"/>
        <v>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6">
        <v>46016.0</v>
      </c>
      <c r="B123" s="3">
        <f>IFERROR(SUMIF(DailySales!$L:$L,$A123,DailySales!$E:$E),0)</f>
        <v>0</v>
      </c>
      <c r="C123" s="3">
        <f>IFERROR(SUMIF(DailySales!$L:$L,$A123,DailySales!$G:$G),0)</f>
        <v>0</v>
      </c>
      <c r="D123" s="3">
        <f>IFERROR(SUMIF(DailySales!$L:$L,$A123,DailySales!$I:$I),0)</f>
        <v>0</v>
      </c>
      <c r="E123" s="3" t="str">
        <f t="shared" si="4"/>
        <v/>
      </c>
      <c r="F123" s="4"/>
      <c r="G123" s="4">
        <f t="shared" si="5"/>
        <v>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6">
        <v>46017.0</v>
      </c>
      <c r="B124" s="3">
        <f>IFERROR(SUMIF(DailySales!$L:$L,$A124,DailySales!$E:$E),0)</f>
        <v>0</v>
      </c>
      <c r="C124" s="3">
        <f>IFERROR(SUMIF(DailySales!$L:$L,$A124,DailySales!$G:$G),0)</f>
        <v>0</v>
      </c>
      <c r="D124" s="3">
        <f>IFERROR(SUMIF(DailySales!$L:$L,$A124,DailySales!$I:$I),0)</f>
        <v>0</v>
      </c>
      <c r="E124" s="3" t="str">
        <f t="shared" si="4"/>
        <v/>
      </c>
      <c r="F124" s="4"/>
      <c r="G124" s="4">
        <f t="shared" si="5"/>
        <v>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6">
        <v>46018.0</v>
      </c>
      <c r="B125" s="3">
        <f>IFERROR(SUMIF(DailySales!$L:$L,$A125,DailySales!$E:$E),0)</f>
        <v>0</v>
      </c>
      <c r="C125" s="3">
        <f>IFERROR(SUMIF(DailySales!$L:$L,$A125,DailySales!$G:$G),0)</f>
        <v>0</v>
      </c>
      <c r="D125" s="3">
        <f>IFERROR(SUMIF(DailySales!$L:$L,$A125,DailySales!$I:$I),0)</f>
        <v>0</v>
      </c>
      <c r="E125" s="3" t="str">
        <f t="shared" si="4"/>
        <v/>
      </c>
      <c r="F125" s="4"/>
      <c r="G125" s="4">
        <f t="shared" si="5"/>
        <v>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6">
        <v>46019.0</v>
      </c>
      <c r="B126" s="3">
        <f>IFERROR(SUMIF(DailySales!$L:$L,$A126,DailySales!$E:$E),0)</f>
        <v>0</v>
      </c>
      <c r="C126" s="3">
        <f>IFERROR(SUMIF(DailySales!$L:$L,$A126,DailySales!$G:$G),0)</f>
        <v>0</v>
      </c>
      <c r="D126" s="3">
        <f>IFERROR(SUMIF(DailySales!$L:$L,$A126,DailySales!$I:$I),0)</f>
        <v>0</v>
      </c>
      <c r="E126" s="3" t="str">
        <f t="shared" si="4"/>
        <v/>
      </c>
      <c r="F126" s="4"/>
      <c r="G126" s="4">
        <f t="shared" si="5"/>
        <v>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6">
        <v>46020.0</v>
      </c>
      <c r="B127" s="3">
        <f>IFERROR(SUMIF(DailySales!$L:$L,$A127,DailySales!$E:$E),0)</f>
        <v>0</v>
      </c>
      <c r="C127" s="3">
        <f>IFERROR(SUMIF(DailySales!$L:$L,$A127,DailySales!$G:$G),0)</f>
        <v>0</v>
      </c>
      <c r="D127" s="3">
        <f>IFERROR(SUMIF(DailySales!$L:$L,$A127,DailySales!$I:$I),0)</f>
        <v>0</v>
      </c>
      <c r="E127" s="3" t="str">
        <f t="shared" si="4"/>
        <v/>
      </c>
      <c r="F127" s="4"/>
      <c r="G127" s="4">
        <f t="shared" si="5"/>
        <v>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6">
        <v>46021.0</v>
      </c>
      <c r="B128" s="3">
        <f>IFERROR(SUMIF(DailySales!$L:$L,$A128,DailySales!$E:$E),0)</f>
        <v>0</v>
      </c>
      <c r="C128" s="3">
        <f>IFERROR(SUMIF(DailySales!$L:$L,$A128,DailySales!$G:$G),0)</f>
        <v>0</v>
      </c>
      <c r="D128" s="3">
        <f>IFERROR(SUMIF(DailySales!$L:$L,$A128,DailySales!$I:$I),0)</f>
        <v>0</v>
      </c>
      <c r="E128" s="3" t="str">
        <f t="shared" si="4"/>
        <v/>
      </c>
      <c r="F128" s="4"/>
      <c r="G128" s="4">
        <f t="shared" si="5"/>
        <v>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6">
        <v>46022.0</v>
      </c>
      <c r="B129" s="3">
        <f>IFERROR(SUMIF(DailySales!$L:$L,$A129,DailySales!$E:$E),0)</f>
        <v>0</v>
      </c>
      <c r="C129" s="3">
        <f>IFERROR(SUMIF(DailySales!$L:$L,$A129,DailySales!$G:$G),0)</f>
        <v>0</v>
      </c>
      <c r="D129" s="3">
        <f>IFERROR(SUMIF(DailySales!$L:$L,$A129,DailySales!$I:$I),0)</f>
        <v>0</v>
      </c>
      <c r="E129" s="3" t="str">
        <f t="shared" si="4"/>
        <v/>
      </c>
      <c r="F129" s="4"/>
      <c r="G129" s="4">
        <f t="shared" si="5"/>
        <v>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" t="s">
        <v>11</v>
      </c>
      <c r="B131" s="1" t="s">
        <v>4</v>
      </c>
      <c r="C131" s="1" t="s">
        <v>6</v>
      </c>
      <c r="D131" s="1" t="s">
        <v>8</v>
      </c>
      <c r="E131" s="1" t="s">
        <v>10</v>
      </c>
      <c r="F131" s="1" t="s">
        <v>69</v>
      </c>
      <c r="G131" s="1" t="s">
        <v>66</v>
      </c>
      <c r="H131" s="29" t="s">
        <v>59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0">
        <v>46023.0</v>
      </c>
      <c r="B132" s="21">
        <f>IFERROR(SUMIF(DailySales!$L:$L,$A132,DailySales!$E:$E),0)</f>
        <v>0</v>
      </c>
      <c r="C132" s="21">
        <f>IFERROR(SUMIF(DailySales!$L:$L,$A132,DailySales!$G:$G),0)</f>
        <v>0</v>
      </c>
      <c r="D132" s="21">
        <f>IFERROR(SUMIF(DailySales!$L:$L,$A132,DailySales!$I:$I),0)</f>
        <v>0</v>
      </c>
      <c r="E132" s="20" t="str">
        <f t="shared" ref="E132:E162" si="6">IF(B132+C132+D132=0,"",B132+C132+D132)</f>
        <v/>
      </c>
      <c r="F132" s="20"/>
      <c r="G132" s="4">
        <f t="shared" ref="G132:G162" si="7">IF(B132="","",B132-IF(F132="",0,F132))</f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0">
        <v>46024.0</v>
      </c>
      <c r="B133" s="21">
        <f>IFERROR(SUMIF(DailySales!$L:$L,$A133,DailySales!$E:$E),0)</f>
        <v>0</v>
      </c>
      <c r="C133" s="21">
        <f>IFERROR(SUMIF(DailySales!$L:$L,$A133,DailySales!$G:$G),0)</f>
        <v>0</v>
      </c>
      <c r="D133" s="21">
        <f>IFERROR(SUMIF(DailySales!$L:$L,$A133,DailySales!$I:$I),0)</f>
        <v>0</v>
      </c>
      <c r="E133" s="20" t="str">
        <f t="shared" si="6"/>
        <v/>
      </c>
      <c r="F133" s="20"/>
      <c r="G133" s="4">
        <f t="shared" si="7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0">
        <v>46025.0</v>
      </c>
      <c r="B134" s="21">
        <f>IFERROR(SUMIF(DailySales!$L:$L,$A134,DailySales!$E:$E),0)</f>
        <v>0</v>
      </c>
      <c r="C134" s="21">
        <f>IFERROR(SUMIF(DailySales!$L:$L,$A134,DailySales!$G:$G),0)</f>
        <v>0</v>
      </c>
      <c r="D134" s="21">
        <f>IFERROR(SUMIF(DailySales!$L:$L,$A134,DailySales!$I:$I),0)</f>
        <v>0</v>
      </c>
      <c r="E134" s="20" t="str">
        <f t="shared" si="6"/>
        <v/>
      </c>
      <c r="F134" s="20"/>
      <c r="G134" s="4">
        <f t="shared" si="7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0">
        <v>46026.0</v>
      </c>
      <c r="B135" s="21">
        <f>IFERROR(SUMIF(DailySales!$L:$L,$A135,DailySales!$E:$E),0)</f>
        <v>0</v>
      </c>
      <c r="C135" s="21">
        <f>IFERROR(SUMIF(DailySales!$L:$L,$A135,DailySales!$G:$G),0)</f>
        <v>0</v>
      </c>
      <c r="D135" s="21">
        <f>IFERROR(SUMIF(DailySales!$L:$L,$A135,DailySales!$I:$I),0)</f>
        <v>0</v>
      </c>
      <c r="E135" s="20" t="str">
        <f t="shared" si="6"/>
        <v/>
      </c>
      <c r="F135" s="20"/>
      <c r="G135" s="4">
        <f t="shared" si="7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0">
        <v>46027.0</v>
      </c>
      <c r="B136" s="21">
        <f>IFERROR(SUMIF(DailySales!$L:$L,$A136,DailySales!$E:$E),0)</f>
        <v>0</v>
      </c>
      <c r="C136" s="21">
        <f>IFERROR(SUMIF(DailySales!$L:$L,$A136,DailySales!$G:$G),0)</f>
        <v>0</v>
      </c>
      <c r="D136" s="21">
        <f>IFERROR(SUMIF(DailySales!$L:$L,$A136,DailySales!$I:$I),0)</f>
        <v>0</v>
      </c>
      <c r="E136" s="20" t="str">
        <f t="shared" si="6"/>
        <v/>
      </c>
      <c r="F136" s="20"/>
      <c r="G136" s="4">
        <f t="shared" si="7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0">
        <v>46028.0</v>
      </c>
      <c r="B137" s="21">
        <f>IFERROR(SUMIF(DailySales!$L:$L,$A137,DailySales!$E:$E),0)</f>
        <v>0</v>
      </c>
      <c r="C137" s="21">
        <f>IFERROR(SUMIF(DailySales!$L:$L,$A137,DailySales!$G:$G),0)</f>
        <v>0</v>
      </c>
      <c r="D137" s="21">
        <f>IFERROR(SUMIF(DailySales!$L:$L,$A137,DailySales!$I:$I),0)</f>
        <v>0</v>
      </c>
      <c r="E137" s="20" t="str">
        <f t="shared" si="6"/>
        <v/>
      </c>
      <c r="F137" s="20"/>
      <c r="G137" s="4">
        <f t="shared" si="7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0">
        <v>46029.0</v>
      </c>
      <c r="B138" s="21">
        <f>IFERROR(SUMIF(DailySales!$L:$L,$A138,DailySales!$E:$E),0)</f>
        <v>0</v>
      </c>
      <c r="C138" s="21">
        <f>IFERROR(SUMIF(DailySales!$L:$L,$A138,DailySales!$G:$G),0)</f>
        <v>0</v>
      </c>
      <c r="D138" s="21">
        <f>IFERROR(SUMIF(DailySales!$L:$L,$A138,DailySales!$I:$I),0)</f>
        <v>0</v>
      </c>
      <c r="E138" s="20" t="str">
        <f t="shared" si="6"/>
        <v/>
      </c>
      <c r="F138" s="20"/>
      <c r="G138" s="4">
        <f t="shared" si="7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0">
        <v>46030.0</v>
      </c>
      <c r="B139" s="21">
        <f>IFERROR(SUMIF(DailySales!$L:$L,$A139,DailySales!$E:$E),0)</f>
        <v>0</v>
      </c>
      <c r="C139" s="21">
        <f>IFERROR(SUMIF(DailySales!$L:$L,$A139,DailySales!$G:$G),0)</f>
        <v>0</v>
      </c>
      <c r="D139" s="21">
        <f>IFERROR(SUMIF(DailySales!$L:$L,$A139,DailySales!$I:$I),0)</f>
        <v>0</v>
      </c>
      <c r="E139" s="20" t="str">
        <f t="shared" si="6"/>
        <v/>
      </c>
      <c r="F139" s="20"/>
      <c r="G139" s="4">
        <f t="shared" si="7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0">
        <v>46031.0</v>
      </c>
      <c r="B140" s="21">
        <f>IFERROR(SUMIF(DailySales!$L:$L,$A140,DailySales!$E:$E),0)</f>
        <v>0</v>
      </c>
      <c r="C140" s="21">
        <f>IFERROR(SUMIF(DailySales!$L:$L,$A140,DailySales!$G:$G),0)</f>
        <v>0</v>
      </c>
      <c r="D140" s="21">
        <f>IFERROR(SUMIF(DailySales!$L:$L,$A140,DailySales!$I:$I),0)</f>
        <v>0</v>
      </c>
      <c r="E140" s="20" t="str">
        <f t="shared" si="6"/>
        <v/>
      </c>
      <c r="F140" s="20"/>
      <c r="G140" s="4">
        <f t="shared" si="7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0">
        <v>46032.0</v>
      </c>
      <c r="B141" s="21">
        <f>IFERROR(SUMIF(DailySales!$L:$L,$A141,DailySales!$E:$E),0)</f>
        <v>0</v>
      </c>
      <c r="C141" s="21">
        <f>IFERROR(SUMIF(DailySales!$L:$L,$A141,DailySales!$G:$G),0)</f>
        <v>0</v>
      </c>
      <c r="D141" s="21">
        <f>IFERROR(SUMIF(DailySales!$L:$L,$A141,DailySales!$I:$I),0)</f>
        <v>0</v>
      </c>
      <c r="E141" s="20" t="str">
        <f t="shared" si="6"/>
        <v/>
      </c>
      <c r="F141" s="20"/>
      <c r="G141" s="4">
        <f t="shared" si="7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>
        <v>46033.0</v>
      </c>
      <c r="B142" s="21">
        <f>IFERROR(SUMIF(DailySales!$L:$L,$A142,DailySales!$E:$E),0)</f>
        <v>0</v>
      </c>
      <c r="C142" s="21">
        <f>IFERROR(SUMIF(DailySales!$L:$L,$A142,DailySales!$G:$G),0)</f>
        <v>0</v>
      </c>
      <c r="D142" s="21">
        <f>IFERROR(SUMIF(DailySales!$L:$L,$A142,DailySales!$I:$I),0)</f>
        <v>0</v>
      </c>
      <c r="E142" s="20" t="str">
        <f t="shared" si="6"/>
        <v/>
      </c>
      <c r="F142" s="20"/>
      <c r="G142" s="4">
        <f t="shared" si="7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0">
        <v>46034.0</v>
      </c>
      <c r="B143" s="21">
        <f>IFERROR(SUMIF(DailySales!$L:$L,$A143,DailySales!$E:$E),0)</f>
        <v>0</v>
      </c>
      <c r="C143" s="21">
        <f>IFERROR(SUMIF(DailySales!$L:$L,$A143,DailySales!$G:$G),0)</f>
        <v>0</v>
      </c>
      <c r="D143" s="21">
        <f>IFERROR(SUMIF(DailySales!$L:$L,$A143,DailySales!$I:$I),0)</f>
        <v>0</v>
      </c>
      <c r="E143" s="20" t="str">
        <f t="shared" si="6"/>
        <v/>
      </c>
      <c r="F143" s="20"/>
      <c r="G143" s="4">
        <f t="shared" si="7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0">
        <v>46035.0</v>
      </c>
      <c r="B144" s="21">
        <f>IFERROR(SUMIF(DailySales!$L:$L,$A144,DailySales!$E:$E),0)</f>
        <v>0</v>
      </c>
      <c r="C144" s="21">
        <f>IFERROR(SUMIF(DailySales!$L:$L,$A144,DailySales!$G:$G),0)</f>
        <v>0</v>
      </c>
      <c r="D144" s="21">
        <f>IFERROR(SUMIF(DailySales!$L:$L,$A144,DailySales!$I:$I),0)</f>
        <v>0</v>
      </c>
      <c r="E144" s="20" t="str">
        <f t="shared" si="6"/>
        <v/>
      </c>
      <c r="F144" s="20"/>
      <c r="G144" s="4">
        <f t="shared" si="7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0">
        <v>46036.0</v>
      </c>
      <c r="B145" s="21">
        <f>IFERROR(SUMIF(DailySales!$L:$L,$A145,DailySales!$E:$E),0)</f>
        <v>0</v>
      </c>
      <c r="C145" s="21">
        <f>IFERROR(SUMIF(DailySales!$L:$L,$A145,DailySales!$G:$G),0)</f>
        <v>0</v>
      </c>
      <c r="D145" s="21">
        <f>IFERROR(SUMIF(DailySales!$L:$L,$A145,DailySales!$I:$I),0)</f>
        <v>0</v>
      </c>
      <c r="E145" s="20" t="str">
        <f t="shared" si="6"/>
        <v/>
      </c>
      <c r="F145" s="20"/>
      <c r="G145" s="4">
        <f t="shared" si="7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0">
        <v>46037.0</v>
      </c>
      <c r="B146" s="21">
        <f>IFERROR(SUMIF(DailySales!$L:$L,$A146,DailySales!$E:$E),0)</f>
        <v>0</v>
      </c>
      <c r="C146" s="21">
        <f>IFERROR(SUMIF(DailySales!$L:$L,$A146,DailySales!$G:$G),0)</f>
        <v>0</v>
      </c>
      <c r="D146" s="21">
        <f>IFERROR(SUMIF(DailySales!$L:$L,$A146,DailySales!$I:$I),0)</f>
        <v>0</v>
      </c>
      <c r="E146" s="20" t="str">
        <f t="shared" si="6"/>
        <v/>
      </c>
      <c r="F146" s="20"/>
      <c r="G146" s="4">
        <f t="shared" si="7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0">
        <v>46038.0</v>
      </c>
      <c r="B147" s="21">
        <f>IFERROR(SUMIF(DailySales!$L:$L,$A147,DailySales!$E:$E),0)</f>
        <v>0</v>
      </c>
      <c r="C147" s="21">
        <f>IFERROR(SUMIF(DailySales!$L:$L,$A147,DailySales!$G:$G),0)</f>
        <v>0</v>
      </c>
      <c r="D147" s="21">
        <f>IFERROR(SUMIF(DailySales!$L:$L,$A147,DailySales!$I:$I),0)</f>
        <v>0</v>
      </c>
      <c r="E147" s="20" t="str">
        <f t="shared" si="6"/>
        <v/>
      </c>
      <c r="F147" s="20"/>
      <c r="G147" s="4">
        <f t="shared" si="7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0">
        <v>46039.0</v>
      </c>
      <c r="B148" s="21">
        <f>IFERROR(SUMIF(DailySales!$L:$L,$A148,DailySales!$E:$E),0)</f>
        <v>0</v>
      </c>
      <c r="C148" s="21">
        <f>IFERROR(SUMIF(DailySales!$L:$L,$A148,DailySales!$G:$G),0)</f>
        <v>0</v>
      </c>
      <c r="D148" s="21">
        <f>IFERROR(SUMIF(DailySales!$L:$L,$A148,DailySales!$I:$I),0)</f>
        <v>0</v>
      </c>
      <c r="E148" s="20" t="str">
        <f t="shared" si="6"/>
        <v/>
      </c>
      <c r="F148" s="20"/>
      <c r="G148" s="4">
        <f t="shared" si="7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0">
        <v>46040.0</v>
      </c>
      <c r="B149" s="21">
        <f>IFERROR(SUMIF(DailySales!$L:$L,$A149,DailySales!$E:$E),0)</f>
        <v>0</v>
      </c>
      <c r="C149" s="21">
        <f>IFERROR(SUMIF(DailySales!$L:$L,$A149,DailySales!$G:$G),0)</f>
        <v>0</v>
      </c>
      <c r="D149" s="21">
        <f>IFERROR(SUMIF(DailySales!$L:$L,$A149,DailySales!$I:$I),0)</f>
        <v>0</v>
      </c>
      <c r="E149" s="20" t="str">
        <f t="shared" si="6"/>
        <v/>
      </c>
      <c r="F149" s="20"/>
      <c r="G149" s="4">
        <f t="shared" si="7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0">
        <v>46041.0</v>
      </c>
      <c r="B150" s="21">
        <f>IFERROR(SUMIF(DailySales!$L:$L,$A150,DailySales!$E:$E),0)</f>
        <v>0</v>
      </c>
      <c r="C150" s="21">
        <f>IFERROR(SUMIF(DailySales!$L:$L,$A150,DailySales!$G:$G),0)</f>
        <v>0</v>
      </c>
      <c r="D150" s="21">
        <f>IFERROR(SUMIF(DailySales!$L:$L,$A150,DailySales!$I:$I),0)</f>
        <v>0</v>
      </c>
      <c r="E150" s="20" t="str">
        <f t="shared" si="6"/>
        <v/>
      </c>
      <c r="F150" s="20"/>
      <c r="G150" s="4">
        <f t="shared" si="7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0">
        <v>46042.0</v>
      </c>
      <c r="B151" s="21">
        <f>IFERROR(SUMIF(DailySales!$L:$L,$A151,DailySales!$E:$E),0)</f>
        <v>0</v>
      </c>
      <c r="C151" s="21">
        <f>IFERROR(SUMIF(DailySales!$L:$L,$A151,DailySales!$G:$G),0)</f>
        <v>0</v>
      </c>
      <c r="D151" s="21">
        <f>IFERROR(SUMIF(DailySales!$L:$L,$A151,DailySales!$I:$I),0)</f>
        <v>0</v>
      </c>
      <c r="E151" s="20" t="str">
        <f t="shared" si="6"/>
        <v/>
      </c>
      <c r="F151" s="20"/>
      <c r="G151" s="4">
        <f t="shared" si="7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0">
        <v>46043.0</v>
      </c>
      <c r="B152" s="21">
        <f>IFERROR(SUMIF(DailySales!$L:$L,$A152,DailySales!$E:$E),0)</f>
        <v>0</v>
      </c>
      <c r="C152" s="21">
        <f>IFERROR(SUMIF(DailySales!$L:$L,$A152,DailySales!$G:$G),0)</f>
        <v>0</v>
      </c>
      <c r="D152" s="21">
        <f>IFERROR(SUMIF(DailySales!$L:$L,$A152,DailySales!$I:$I),0)</f>
        <v>0</v>
      </c>
      <c r="E152" s="20" t="str">
        <f t="shared" si="6"/>
        <v/>
      </c>
      <c r="F152" s="20"/>
      <c r="G152" s="4">
        <f t="shared" si="7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>
        <v>46044.0</v>
      </c>
      <c r="B153" s="21">
        <f>IFERROR(SUMIF(DailySales!$L:$L,$A153,DailySales!$E:$E),0)</f>
        <v>0</v>
      </c>
      <c r="C153" s="21">
        <f>IFERROR(SUMIF(DailySales!$L:$L,$A153,DailySales!$G:$G),0)</f>
        <v>0</v>
      </c>
      <c r="D153" s="21">
        <f>IFERROR(SUMIF(DailySales!$L:$L,$A153,DailySales!$I:$I),0)</f>
        <v>0</v>
      </c>
      <c r="E153" s="20" t="str">
        <f t="shared" si="6"/>
        <v/>
      </c>
      <c r="F153" s="20"/>
      <c r="G153" s="4">
        <f t="shared" si="7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0">
        <v>46045.0</v>
      </c>
      <c r="B154" s="21">
        <f>IFERROR(SUMIF(DailySales!$L:$L,$A154,DailySales!$E:$E),0)</f>
        <v>0</v>
      </c>
      <c r="C154" s="21">
        <f>IFERROR(SUMIF(DailySales!$L:$L,$A154,DailySales!$G:$G),0)</f>
        <v>0</v>
      </c>
      <c r="D154" s="21">
        <f>IFERROR(SUMIF(DailySales!$L:$L,$A154,DailySales!$I:$I),0)</f>
        <v>0</v>
      </c>
      <c r="E154" s="20" t="str">
        <f t="shared" si="6"/>
        <v/>
      </c>
      <c r="F154" s="20"/>
      <c r="G154" s="4">
        <f t="shared" si="7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0">
        <v>46046.0</v>
      </c>
      <c r="B155" s="21">
        <f>IFERROR(SUMIF(DailySales!$L:$L,$A155,DailySales!$E:$E),0)</f>
        <v>0</v>
      </c>
      <c r="C155" s="21">
        <f>IFERROR(SUMIF(DailySales!$L:$L,$A155,DailySales!$G:$G),0)</f>
        <v>0</v>
      </c>
      <c r="D155" s="21">
        <f>IFERROR(SUMIF(DailySales!$L:$L,$A155,DailySales!$I:$I),0)</f>
        <v>0</v>
      </c>
      <c r="E155" s="20" t="str">
        <f t="shared" si="6"/>
        <v/>
      </c>
      <c r="F155" s="20"/>
      <c r="G155" s="4">
        <f t="shared" si="7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0">
        <v>46047.0</v>
      </c>
      <c r="B156" s="21">
        <f>IFERROR(SUMIF(DailySales!$L:$L,$A156,DailySales!$E:$E),0)</f>
        <v>0</v>
      </c>
      <c r="C156" s="21">
        <f>IFERROR(SUMIF(DailySales!$L:$L,$A156,DailySales!$G:$G),0)</f>
        <v>0</v>
      </c>
      <c r="D156" s="21">
        <f>IFERROR(SUMIF(DailySales!$L:$L,$A156,DailySales!$I:$I),0)</f>
        <v>0</v>
      </c>
      <c r="E156" s="20" t="str">
        <f t="shared" si="6"/>
        <v/>
      </c>
      <c r="F156" s="20"/>
      <c r="G156" s="4">
        <f t="shared" si="7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0">
        <v>46048.0</v>
      </c>
      <c r="B157" s="21">
        <f>IFERROR(SUMIF(DailySales!$L:$L,$A157,DailySales!$E:$E),0)</f>
        <v>0</v>
      </c>
      <c r="C157" s="21">
        <f>IFERROR(SUMIF(DailySales!$L:$L,$A157,DailySales!$G:$G),0)</f>
        <v>0</v>
      </c>
      <c r="D157" s="21">
        <f>IFERROR(SUMIF(DailySales!$L:$L,$A157,DailySales!$I:$I),0)</f>
        <v>0</v>
      </c>
      <c r="E157" s="20" t="str">
        <f t="shared" si="6"/>
        <v/>
      </c>
      <c r="F157" s="20"/>
      <c r="G157" s="4">
        <f t="shared" si="7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0">
        <v>46049.0</v>
      </c>
      <c r="B158" s="21">
        <f>IFERROR(SUMIF(DailySales!$L:$L,$A158,DailySales!$E:$E),0)</f>
        <v>0</v>
      </c>
      <c r="C158" s="21">
        <f>IFERROR(SUMIF(DailySales!$L:$L,$A158,DailySales!$G:$G),0)</f>
        <v>0</v>
      </c>
      <c r="D158" s="21">
        <f>IFERROR(SUMIF(DailySales!$L:$L,$A158,DailySales!$I:$I),0)</f>
        <v>0</v>
      </c>
      <c r="E158" s="20" t="str">
        <f t="shared" si="6"/>
        <v/>
      </c>
      <c r="F158" s="20"/>
      <c r="G158" s="4">
        <f t="shared" si="7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0">
        <v>46050.0</v>
      </c>
      <c r="B159" s="21">
        <f>IFERROR(SUMIF(DailySales!$L:$L,$A159,DailySales!$E:$E),0)</f>
        <v>0</v>
      </c>
      <c r="C159" s="21">
        <f>IFERROR(SUMIF(DailySales!$L:$L,$A159,DailySales!$G:$G),0)</f>
        <v>0</v>
      </c>
      <c r="D159" s="21">
        <f>IFERROR(SUMIF(DailySales!$L:$L,$A159,DailySales!$I:$I),0)</f>
        <v>0</v>
      </c>
      <c r="E159" s="20" t="str">
        <f t="shared" si="6"/>
        <v/>
      </c>
      <c r="F159" s="20"/>
      <c r="G159" s="4">
        <f t="shared" si="7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0">
        <v>46051.0</v>
      </c>
      <c r="B160" s="21">
        <f>IFERROR(SUMIF(DailySales!$L:$L,$A160,DailySales!$E:$E),0)</f>
        <v>0</v>
      </c>
      <c r="C160" s="21">
        <f>IFERROR(SUMIF(DailySales!$L:$L,$A160,DailySales!$G:$G),0)</f>
        <v>0</v>
      </c>
      <c r="D160" s="21">
        <f>IFERROR(SUMIF(DailySales!$L:$L,$A160,DailySales!$I:$I),0)</f>
        <v>0</v>
      </c>
      <c r="E160" s="20" t="str">
        <f t="shared" si="6"/>
        <v/>
      </c>
      <c r="F160" s="20"/>
      <c r="G160" s="4">
        <f t="shared" si="7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0">
        <v>46052.0</v>
      </c>
      <c r="B161" s="21">
        <f>IFERROR(SUMIF(DailySales!$L:$L,$A161,DailySales!$E:$E),0)</f>
        <v>0</v>
      </c>
      <c r="C161" s="21">
        <f>IFERROR(SUMIF(DailySales!$L:$L,$A161,DailySales!$G:$G),0)</f>
        <v>0</v>
      </c>
      <c r="D161" s="21">
        <f>IFERROR(SUMIF(DailySales!$L:$L,$A161,DailySales!$I:$I),0)</f>
        <v>0</v>
      </c>
      <c r="E161" s="20" t="str">
        <f t="shared" si="6"/>
        <v/>
      </c>
      <c r="F161" s="20"/>
      <c r="G161" s="4">
        <f t="shared" si="7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0">
        <v>46053.0</v>
      </c>
      <c r="B162" s="21">
        <f>IFERROR(SUMIF(DailySales!$L:$L,$A162,DailySales!$E:$E),0)</f>
        <v>0</v>
      </c>
      <c r="C162" s="21">
        <f>IFERROR(SUMIF(DailySales!$L:$L,$A162,DailySales!$G:$G),0)</f>
        <v>0</v>
      </c>
      <c r="D162" s="21">
        <f>IFERROR(SUMIF(DailySales!$L:$L,$A162,DailySales!$I:$I),0)</f>
        <v>0</v>
      </c>
      <c r="E162" s="20" t="str">
        <f t="shared" si="6"/>
        <v/>
      </c>
      <c r="F162" s="20"/>
      <c r="G162" s="4">
        <f t="shared" si="7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0"/>
      <c r="B163" s="21"/>
      <c r="C163" s="21"/>
      <c r="D163" s="21"/>
      <c r="E163" s="20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0"/>
      <c r="B164" s="21"/>
      <c r="C164" s="21"/>
      <c r="D164" s="21"/>
      <c r="E164" s="20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0"/>
      <c r="B165" s="21"/>
      <c r="C165" s="21"/>
      <c r="D165" s="21"/>
      <c r="E165" s="20"/>
      <c r="F165" s="2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/>
      <c r="B166" s="21"/>
      <c r="C166" s="21"/>
      <c r="D166" s="21"/>
      <c r="E166" s="20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0"/>
      <c r="B167" s="21"/>
      <c r="C167" s="21"/>
      <c r="D167" s="21"/>
      <c r="E167" s="20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0"/>
      <c r="B168" s="21"/>
      <c r="C168" s="21"/>
      <c r="D168" s="21"/>
      <c r="E168" s="20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0"/>
      <c r="B169" s="21"/>
      <c r="C169" s="21"/>
      <c r="D169" s="21"/>
      <c r="E169" s="20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0"/>
      <c r="B170" s="21"/>
      <c r="C170" s="21"/>
      <c r="D170" s="21"/>
      <c r="E170" s="20"/>
      <c r="F170" s="2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0"/>
      <c r="B171" s="21"/>
      <c r="C171" s="21"/>
      <c r="D171" s="21"/>
      <c r="E171" s="20"/>
      <c r="F171" s="2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0"/>
      <c r="B172" s="21"/>
      <c r="C172" s="21"/>
      <c r="D172" s="21"/>
      <c r="E172" s="20"/>
      <c r="F172" s="2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0"/>
      <c r="B173" s="21"/>
      <c r="C173" s="21"/>
      <c r="D173" s="21"/>
      <c r="E173" s="20"/>
      <c r="F173" s="2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0"/>
      <c r="B174" s="21"/>
      <c r="C174" s="21"/>
      <c r="D174" s="21"/>
      <c r="E174" s="20"/>
      <c r="F174" s="2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0"/>
      <c r="B175" s="21"/>
      <c r="C175" s="21"/>
      <c r="D175" s="21"/>
      <c r="E175" s="20"/>
      <c r="F175" s="2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0"/>
      <c r="B176" s="21"/>
      <c r="C176" s="21"/>
      <c r="D176" s="21"/>
      <c r="E176" s="20"/>
      <c r="F176" s="2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0"/>
      <c r="B177" s="21"/>
      <c r="C177" s="21"/>
      <c r="D177" s="21"/>
      <c r="E177" s="20"/>
      <c r="F177" s="2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/>
      <c r="B178" s="21"/>
      <c r="C178" s="21"/>
      <c r="D178" s="21"/>
      <c r="E178" s="20"/>
      <c r="F178" s="2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0"/>
      <c r="B179" s="21"/>
      <c r="C179" s="21"/>
      <c r="D179" s="21"/>
      <c r="E179" s="20"/>
      <c r="F179" s="2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0"/>
      <c r="B180" s="21"/>
      <c r="C180" s="21"/>
      <c r="D180" s="21"/>
      <c r="E180" s="20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0"/>
      <c r="B181" s="21"/>
      <c r="C181" s="21"/>
      <c r="D181" s="21"/>
      <c r="E181" s="20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0"/>
      <c r="B182" s="21"/>
      <c r="C182" s="21"/>
      <c r="D182" s="21"/>
      <c r="E182" s="20"/>
      <c r="F182" s="2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0"/>
      <c r="B183" s="21"/>
      <c r="C183" s="21"/>
      <c r="D183" s="21"/>
      <c r="E183" s="20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0"/>
      <c r="B184" s="21"/>
      <c r="C184" s="21"/>
      <c r="D184" s="21"/>
      <c r="E184" s="20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0"/>
      <c r="B185" s="21"/>
      <c r="C185" s="21"/>
      <c r="D185" s="21"/>
      <c r="E185" s="20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0"/>
      <c r="B186" s="21"/>
      <c r="C186" s="21"/>
      <c r="D186" s="21"/>
      <c r="E186" s="20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0"/>
      <c r="B187" s="21"/>
      <c r="C187" s="21"/>
      <c r="D187" s="21"/>
      <c r="E187" s="20"/>
      <c r="F187" s="2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0"/>
      <c r="B188" s="21"/>
      <c r="C188" s="21"/>
      <c r="D188" s="21"/>
      <c r="E188" s="20"/>
      <c r="F188" s="2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0"/>
      <c r="B189" s="21"/>
      <c r="C189" s="21"/>
      <c r="D189" s="21"/>
      <c r="E189" s="20"/>
      <c r="F189" s="2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/>
      <c r="B190" s="21"/>
      <c r="C190" s="21"/>
      <c r="D190" s="21"/>
      <c r="E190" s="20"/>
      <c r="F190" s="2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0"/>
      <c r="B191" s="21"/>
      <c r="C191" s="21"/>
      <c r="D191" s="21"/>
      <c r="E191" s="20"/>
      <c r="F191" s="2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0"/>
      <c r="B192" s="21"/>
      <c r="C192" s="21"/>
      <c r="D192" s="21"/>
      <c r="E192" s="20"/>
      <c r="F192" s="2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0"/>
      <c r="B193" s="21"/>
      <c r="C193" s="21"/>
      <c r="D193" s="21"/>
      <c r="E193" s="20"/>
      <c r="F193" s="2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3" width="16.0"/>
    <col customWidth="1" min="4" max="5" width="10.0"/>
    <col customWidth="1" min="6" max="7" width="16.0"/>
    <col customWidth="1" min="8" max="8" width="20.0"/>
    <col customWidth="1" min="9" max="9" width="25.0"/>
    <col customWidth="1" min="10" max="26" width="8.71"/>
  </cols>
  <sheetData>
    <row r="1">
      <c r="A1" s="47" t="s">
        <v>11</v>
      </c>
      <c r="B1" s="47" t="s">
        <v>1</v>
      </c>
      <c r="C1" s="47" t="s">
        <v>0</v>
      </c>
      <c r="D1" s="47" t="s">
        <v>70</v>
      </c>
      <c r="E1" s="47" t="s">
        <v>71</v>
      </c>
      <c r="F1" s="47" t="s">
        <v>72</v>
      </c>
      <c r="G1" s="47" t="s">
        <v>73</v>
      </c>
      <c r="H1" s="47" t="s">
        <v>74</v>
      </c>
      <c r="I1" s="47" t="s">
        <v>75</v>
      </c>
    </row>
    <row r="2">
      <c r="A2" s="48">
        <v>45903.0</v>
      </c>
      <c r="B2" s="49" t="s">
        <v>76</v>
      </c>
      <c r="C2" s="49" t="s">
        <v>77</v>
      </c>
      <c r="D2" s="9"/>
      <c r="E2" s="9"/>
      <c r="F2" s="9"/>
      <c r="G2" s="49">
        <v>301.0</v>
      </c>
      <c r="H2" s="9"/>
      <c r="I2" s="49"/>
    </row>
    <row r="3">
      <c r="A3" s="48">
        <v>45905.0</v>
      </c>
      <c r="B3" s="49" t="s">
        <v>78</v>
      </c>
      <c r="C3" s="49" t="s">
        <v>77</v>
      </c>
      <c r="D3" s="9"/>
      <c r="E3" s="9"/>
      <c r="F3" s="9"/>
      <c r="G3" s="49">
        <v>1119.0</v>
      </c>
      <c r="H3" s="9"/>
      <c r="I3" s="49"/>
    </row>
    <row r="4">
      <c r="A4" s="48">
        <v>45912.0</v>
      </c>
      <c r="B4" s="49" t="s">
        <v>79</v>
      </c>
      <c r="C4" s="49" t="s">
        <v>77</v>
      </c>
      <c r="D4" s="9"/>
      <c r="E4" s="9"/>
      <c r="F4" s="9"/>
      <c r="G4" s="49">
        <v>1440.0</v>
      </c>
      <c r="H4" s="9"/>
      <c r="I4" s="49"/>
    </row>
    <row r="5">
      <c r="A5" s="48">
        <v>45913.0</v>
      </c>
      <c r="B5" s="49" t="s">
        <v>80</v>
      </c>
      <c r="C5" s="49" t="s">
        <v>77</v>
      </c>
      <c r="D5" s="9"/>
      <c r="E5" s="9"/>
      <c r="F5" s="9"/>
      <c r="G5" s="49">
        <v>870.0</v>
      </c>
      <c r="H5" s="9"/>
      <c r="I5" s="49"/>
    </row>
    <row r="6">
      <c r="A6" s="48">
        <v>45924.0</v>
      </c>
      <c r="B6" s="49" t="s">
        <v>81</v>
      </c>
      <c r="C6" s="49" t="s">
        <v>77</v>
      </c>
      <c r="D6" s="9"/>
      <c r="E6" s="9"/>
      <c r="F6" s="9"/>
      <c r="G6" s="49">
        <v>3290.0</v>
      </c>
      <c r="H6" s="9"/>
      <c r="I6" s="49"/>
    </row>
    <row r="7">
      <c r="A7" s="48">
        <v>45926.0</v>
      </c>
      <c r="B7" s="49" t="s">
        <v>82</v>
      </c>
      <c r="C7" s="49" t="s">
        <v>77</v>
      </c>
      <c r="D7" s="9"/>
      <c r="E7" s="9"/>
      <c r="F7" s="9"/>
      <c r="G7" s="49">
        <v>1469.0</v>
      </c>
      <c r="H7" s="9"/>
      <c r="I7" s="49"/>
    </row>
    <row r="8">
      <c r="A8" s="48">
        <v>45934.0</v>
      </c>
      <c r="B8" s="49" t="s">
        <v>83</v>
      </c>
      <c r="C8" s="49" t="s">
        <v>77</v>
      </c>
      <c r="D8" s="9"/>
      <c r="E8" s="9"/>
      <c r="F8" s="9"/>
      <c r="G8" s="49">
        <v>769.0</v>
      </c>
      <c r="H8" s="9"/>
      <c r="I8" s="49"/>
    </row>
    <row r="9">
      <c r="A9" s="48">
        <v>45938.0</v>
      </c>
      <c r="B9" s="49" t="s">
        <v>84</v>
      </c>
      <c r="C9" s="49" t="s">
        <v>77</v>
      </c>
      <c r="D9" s="9"/>
      <c r="E9" s="9"/>
      <c r="F9" s="9"/>
      <c r="G9" s="49">
        <v>1309.0</v>
      </c>
      <c r="H9" s="9"/>
      <c r="I9" s="49" t="s">
        <v>85</v>
      </c>
    </row>
    <row r="10">
      <c r="A10" s="48">
        <v>45941.0</v>
      </c>
      <c r="B10" s="49" t="s">
        <v>86</v>
      </c>
      <c r="C10" s="49" t="s">
        <v>77</v>
      </c>
      <c r="D10" s="9"/>
      <c r="E10" s="9"/>
      <c r="F10" s="9"/>
      <c r="G10" s="49">
        <v>1860.0</v>
      </c>
      <c r="H10" s="9"/>
      <c r="I10" s="49"/>
    </row>
    <row r="11">
      <c r="A11" s="48">
        <v>45942.0</v>
      </c>
      <c r="B11" s="49" t="s">
        <v>87</v>
      </c>
      <c r="C11" s="49" t="s">
        <v>77</v>
      </c>
      <c r="D11" s="9"/>
      <c r="E11" s="9"/>
      <c r="F11" s="9"/>
      <c r="G11" s="49">
        <v>575.0</v>
      </c>
      <c r="H11" s="9"/>
      <c r="I11" s="49" t="s">
        <v>88</v>
      </c>
    </row>
    <row r="12">
      <c r="A12" s="48">
        <v>45950.0</v>
      </c>
      <c r="B12" s="49" t="s">
        <v>89</v>
      </c>
      <c r="C12" s="49" t="s">
        <v>77</v>
      </c>
      <c r="D12" s="9"/>
      <c r="E12" s="9"/>
      <c r="F12" s="9"/>
      <c r="G12" s="49">
        <v>5620.0</v>
      </c>
      <c r="H12" s="9"/>
      <c r="I12" s="49" t="s">
        <v>90</v>
      </c>
    </row>
    <row r="13">
      <c r="A13" s="48">
        <v>45952.0</v>
      </c>
      <c r="B13" s="49" t="s">
        <v>91</v>
      </c>
      <c r="C13" s="49" t="s">
        <v>77</v>
      </c>
      <c r="D13" s="9"/>
      <c r="E13" s="9"/>
      <c r="F13" s="9"/>
      <c r="G13" s="49">
        <v>45.0</v>
      </c>
      <c r="H13" s="9"/>
      <c r="I13" s="49"/>
    </row>
    <row r="14">
      <c r="A14" s="48">
        <v>45953.0</v>
      </c>
      <c r="B14" s="49" t="s">
        <v>92</v>
      </c>
      <c r="C14" s="49" t="s">
        <v>77</v>
      </c>
      <c r="D14" s="9"/>
      <c r="E14" s="9"/>
      <c r="F14" s="9"/>
      <c r="G14" s="49">
        <v>1280.0</v>
      </c>
      <c r="H14" s="9"/>
      <c r="I14" s="49"/>
    </row>
    <row r="15">
      <c r="A15" s="48">
        <v>45958.0</v>
      </c>
      <c r="B15" s="49" t="s">
        <v>93</v>
      </c>
      <c r="C15" s="49" t="s">
        <v>77</v>
      </c>
      <c r="D15" s="9"/>
      <c r="E15" s="9"/>
      <c r="F15" s="9"/>
      <c r="G15" s="49">
        <v>650.0</v>
      </c>
      <c r="H15" s="9"/>
      <c r="I15" s="49"/>
    </row>
    <row r="16">
      <c r="A16" s="48">
        <v>45960.0</v>
      </c>
      <c r="B16" s="49" t="s">
        <v>94</v>
      </c>
      <c r="C16" s="49" t="s">
        <v>77</v>
      </c>
      <c r="D16" s="9"/>
      <c r="E16" s="9"/>
      <c r="F16" s="9"/>
      <c r="G16" s="49">
        <v>1759.0</v>
      </c>
      <c r="H16" s="9"/>
      <c r="I16" s="49" t="s">
        <v>95</v>
      </c>
    </row>
    <row r="17">
      <c r="A17" s="48">
        <v>45970.0</v>
      </c>
      <c r="B17" s="49" t="s">
        <v>96</v>
      </c>
      <c r="C17" s="49" t="s">
        <v>77</v>
      </c>
      <c r="D17" s="9"/>
      <c r="E17" s="9"/>
      <c r="F17" s="9"/>
      <c r="G17" s="49">
        <v>2000.0</v>
      </c>
      <c r="H17" s="9"/>
      <c r="I17" s="49" t="s">
        <v>97</v>
      </c>
    </row>
    <row r="18">
      <c r="A18" s="48">
        <v>45978.0</v>
      </c>
      <c r="B18" s="49" t="s">
        <v>98</v>
      </c>
      <c r="C18" s="49" t="s">
        <v>77</v>
      </c>
      <c r="D18" s="9"/>
      <c r="E18" s="9"/>
      <c r="F18" s="9"/>
      <c r="G18" s="49">
        <v>580.0</v>
      </c>
      <c r="H18" s="9"/>
      <c r="I18" s="49"/>
    </row>
    <row r="19">
      <c r="A19" s="48">
        <v>45980.0</v>
      </c>
      <c r="B19" s="49" t="s">
        <v>99</v>
      </c>
      <c r="C19" s="49" t="s">
        <v>77</v>
      </c>
      <c r="D19" s="9"/>
      <c r="E19" s="9"/>
      <c r="F19" s="9"/>
      <c r="G19" s="49">
        <v>2075.0</v>
      </c>
      <c r="H19" s="9"/>
      <c r="I19" s="49"/>
    </row>
    <row r="20">
      <c r="A20" s="48">
        <v>45987.0</v>
      </c>
      <c r="B20" s="49" t="s">
        <v>100</v>
      </c>
      <c r="C20" s="49" t="s">
        <v>77</v>
      </c>
      <c r="D20" s="9"/>
      <c r="E20" s="9"/>
      <c r="F20" s="9"/>
      <c r="G20" s="49">
        <v>963.0</v>
      </c>
      <c r="H20" s="9"/>
      <c r="I20" s="49"/>
    </row>
    <row r="21" ht="15.75" customHeight="1">
      <c r="A21" s="48">
        <v>45991.0</v>
      </c>
      <c r="B21" s="49" t="s">
        <v>101</v>
      </c>
      <c r="C21" s="49" t="s">
        <v>77</v>
      </c>
      <c r="D21" s="9"/>
      <c r="E21" s="9"/>
      <c r="F21" s="9"/>
      <c r="G21" s="49">
        <v>2000.0</v>
      </c>
      <c r="H21" s="9"/>
      <c r="I21" s="49" t="s">
        <v>102</v>
      </c>
    </row>
    <row r="22" ht="15.75" customHeight="1">
      <c r="A22" s="50">
        <v>46001.0</v>
      </c>
      <c r="B22" s="44" t="s">
        <v>103</v>
      </c>
      <c r="C22" s="51" t="s">
        <v>77</v>
      </c>
      <c r="D22" s="44"/>
      <c r="E22" s="44"/>
      <c r="F22" s="4"/>
      <c r="G22" s="44">
        <v>1885.0</v>
      </c>
      <c r="H22" s="4"/>
      <c r="I22" s="4"/>
    </row>
    <row r="23" ht="15.75" customHeight="1">
      <c r="A23" s="50">
        <v>46004.0</v>
      </c>
      <c r="B23" s="44" t="s">
        <v>104</v>
      </c>
      <c r="C23" s="51" t="s">
        <v>77</v>
      </c>
      <c r="D23" s="41">
        <v>3.0</v>
      </c>
      <c r="E23" s="41" t="s">
        <v>105</v>
      </c>
      <c r="F23" s="4"/>
      <c r="G23" s="44">
        <v>870.0</v>
      </c>
      <c r="H23" s="4"/>
      <c r="I23" s="4"/>
    </row>
    <row r="24" ht="15.75" customHeight="1">
      <c r="A24" s="50">
        <v>46004.0</v>
      </c>
      <c r="B24" s="44" t="s">
        <v>106</v>
      </c>
      <c r="C24" s="51" t="s">
        <v>77</v>
      </c>
      <c r="D24" s="4"/>
      <c r="E24" s="4"/>
      <c r="F24" s="4"/>
      <c r="G24" s="44">
        <v>270.0</v>
      </c>
      <c r="H24" s="4"/>
      <c r="I24" s="4"/>
    </row>
    <row r="25" ht="15.75" customHeight="1">
      <c r="A25" s="50">
        <v>46004.0</v>
      </c>
      <c r="B25" s="44" t="s">
        <v>107</v>
      </c>
      <c r="C25" s="51" t="s">
        <v>77</v>
      </c>
      <c r="D25" s="4"/>
      <c r="E25" s="4"/>
      <c r="F25" s="4"/>
      <c r="G25" s="44">
        <v>500.0</v>
      </c>
      <c r="H25" s="4"/>
      <c r="I25" s="4"/>
    </row>
    <row r="26" ht="15.75" customHeight="1">
      <c r="A26" s="50">
        <v>46004.0</v>
      </c>
      <c r="B26" s="44" t="s">
        <v>108</v>
      </c>
      <c r="C26" s="51" t="s">
        <v>77</v>
      </c>
      <c r="D26" s="4"/>
      <c r="E26" s="4"/>
      <c r="F26" s="4"/>
      <c r="G26" s="44">
        <v>206.0</v>
      </c>
      <c r="H26" s="4"/>
      <c r="I26" s="4"/>
    </row>
    <row r="27" ht="15.75" customHeight="1">
      <c r="A27" s="50">
        <v>46004.0</v>
      </c>
      <c r="B27" s="44" t="s">
        <v>109</v>
      </c>
      <c r="C27" s="51" t="s">
        <v>77</v>
      </c>
      <c r="D27" s="4"/>
      <c r="E27" s="4"/>
      <c r="F27" s="4"/>
      <c r="G27" s="44">
        <v>340.0</v>
      </c>
      <c r="H27" s="4"/>
      <c r="I27" s="4"/>
    </row>
    <row r="28" ht="15.75" customHeight="1">
      <c r="A28" s="50">
        <v>46004.0</v>
      </c>
      <c r="B28" s="44" t="s">
        <v>110</v>
      </c>
      <c r="C28" s="51" t="s">
        <v>77</v>
      </c>
      <c r="D28" s="4"/>
      <c r="E28" s="4"/>
      <c r="F28" s="4"/>
      <c r="G28" s="44">
        <v>71.0</v>
      </c>
      <c r="H28" s="4"/>
      <c r="I28" s="4"/>
    </row>
    <row r="29" ht="15.75" customHeight="1">
      <c r="A29" s="52">
        <v>46006.0</v>
      </c>
      <c r="B29" s="41" t="s">
        <v>111</v>
      </c>
      <c r="C29" s="44" t="s">
        <v>77</v>
      </c>
      <c r="D29" s="4"/>
      <c r="E29" s="4"/>
      <c r="F29" s="4"/>
      <c r="G29" s="44">
        <v>150.0</v>
      </c>
      <c r="H29" s="4"/>
      <c r="I29" s="4"/>
    </row>
    <row r="30" ht="15.75" customHeight="1">
      <c r="A30" s="50">
        <v>46009.0</v>
      </c>
      <c r="B30" s="44" t="s">
        <v>112</v>
      </c>
      <c r="C30" s="44" t="s">
        <v>77</v>
      </c>
      <c r="D30" s="44">
        <v>1.3</v>
      </c>
      <c r="E30" s="44" t="s">
        <v>113</v>
      </c>
      <c r="F30" s="4"/>
      <c r="G30" s="44">
        <v>709.0</v>
      </c>
      <c r="H30" s="4"/>
      <c r="I30" s="4"/>
    </row>
    <row r="31" ht="15.75" customHeight="1">
      <c r="A31" s="50">
        <v>46009.0</v>
      </c>
      <c r="B31" s="44" t="s">
        <v>111</v>
      </c>
      <c r="C31" s="44" t="s">
        <v>77</v>
      </c>
      <c r="D31" s="44">
        <v>2.0</v>
      </c>
      <c r="E31" s="44" t="s">
        <v>113</v>
      </c>
      <c r="F31" s="4"/>
      <c r="G31" s="44">
        <v>104.0</v>
      </c>
      <c r="H31" s="4"/>
      <c r="I31" s="4"/>
    </row>
    <row r="32" ht="15.75" customHeight="1">
      <c r="A32" s="50">
        <v>46009.0</v>
      </c>
      <c r="B32" s="44" t="s">
        <v>107</v>
      </c>
      <c r="C32" s="44" t="s">
        <v>77</v>
      </c>
      <c r="D32" s="44">
        <v>0.5</v>
      </c>
      <c r="E32" s="44" t="s">
        <v>113</v>
      </c>
      <c r="F32" s="4"/>
      <c r="G32" s="44">
        <v>170.0</v>
      </c>
      <c r="H32" s="4"/>
      <c r="I32" s="4"/>
    </row>
    <row r="33" ht="15.75" customHeight="1">
      <c r="A33" s="50">
        <v>46013.0</v>
      </c>
      <c r="B33" s="44" t="s">
        <v>107</v>
      </c>
      <c r="C33" s="44" t="s">
        <v>77</v>
      </c>
      <c r="D33" s="44">
        <v>0.8</v>
      </c>
      <c r="E33" s="44" t="s">
        <v>113</v>
      </c>
      <c r="F33" s="4"/>
      <c r="G33" s="44">
        <v>280.0</v>
      </c>
      <c r="H33" s="4"/>
      <c r="I33" s="4"/>
    </row>
    <row r="34" ht="15.75" customHeight="1">
      <c r="A34" s="50">
        <v>46013.0</v>
      </c>
      <c r="B34" s="44" t="s">
        <v>114</v>
      </c>
      <c r="C34" s="44" t="s">
        <v>77</v>
      </c>
      <c r="D34" s="44">
        <v>3.0</v>
      </c>
      <c r="E34" s="44" t="s">
        <v>115</v>
      </c>
      <c r="F34" s="4"/>
      <c r="G34" s="44">
        <v>114.0</v>
      </c>
      <c r="H34" s="4"/>
      <c r="I34" s="4"/>
    </row>
    <row r="35" ht="15.75" customHeight="1">
      <c r="A35" s="50">
        <v>46013.0</v>
      </c>
      <c r="B35" s="44" t="s">
        <v>116</v>
      </c>
      <c r="C35" s="44" t="s">
        <v>77</v>
      </c>
      <c r="D35" s="44">
        <v>2.0</v>
      </c>
      <c r="E35" s="44" t="s">
        <v>117</v>
      </c>
      <c r="F35" s="4"/>
      <c r="G35" s="44">
        <v>108.0</v>
      </c>
      <c r="H35" s="4"/>
      <c r="I35" s="4"/>
    </row>
    <row r="36" ht="15.75" customHeight="1">
      <c r="A36" s="50">
        <v>46013.0</v>
      </c>
      <c r="B36" s="44" t="s">
        <v>118</v>
      </c>
      <c r="C36" s="44" t="s">
        <v>77</v>
      </c>
      <c r="D36" s="44">
        <v>1.0</v>
      </c>
      <c r="E36" s="44" t="s">
        <v>113</v>
      </c>
      <c r="F36" s="44"/>
      <c r="G36" s="44">
        <v>259.0</v>
      </c>
      <c r="H36" s="4"/>
      <c r="I36" s="4"/>
    </row>
    <row r="37" ht="15.75" customHeight="1">
      <c r="A37" s="50">
        <v>46013.0</v>
      </c>
      <c r="B37" s="44" t="s">
        <v>119</v>
      </c>
      <c r="C37" s="44" t="s">
        <v>77</v>
      </c>
      <c r="D37" s="4"/>
      <c r="E37" s="4"/>
      <c r="F37" s="4"/>
      <c r="G37" s="44">
        <v>338.0</v>
      </c>
      <c r="H37" s="4"/>
      <c r="I37" s="4"/>
    </row>
    <row r="38" ht="15.75" customHeight="1">
      <c r="A38" s="50">
        <v>46014.0</v>
      </c>
      <c r="B38" s="44" t="s">
        <v>120</v>
      </c>
      <c r="C38" s="44" t="s">
        <v>77</v>
      </c>
      <c r="D38" s="4"/>
      <c r="E38" s="4"/>
      <c r="F38" s="4"/>
      <c r="G38" s="44">
        <v>100.0</v>
      </c>
      <c r="H38" s="4"/>
      <c r="I38" s="4"/>
    </row>
    <row r="39" ht="15.75" customHeight="1">
      <c r="A39" s="50"/>
      <c r="B39" s="44"/>
      <c r="C39" s="44"/>
      <c r="D39" s="4"/>
      <c r="E39" s="4"/>
      <c r="F39" s="4"/>
      <c r="G39" s="44"/>
      <c r="H39" s="4"/>
      <c r="I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29"/>
    <col customWidth="1" min="3" max="3" width="35.0"/>
    <col customWidth="1" min="4" max="4" width="16.0"/>
    <col customWidth="1" min="5" max="5" width="14.0"/>
    <col customWidth="1" min="6" max="6" width="20.0"/>
    <col customWidth="1" min="7" max="26" width="8.71"/>
  </cols>
  <sheetData>
    <row r="1">
      <c r="A1" s="47" t="s">
        <v>11</v>
      </c>
      <c r="B1" s="47" t="s">
        <v>0</v>
      </c>
      <c r="C1" s="47" t="s">
        <v>121</v>
      </c>
      <c r="D1" s="47" t="s">
        <v>122</v>
      </c>
      <c r="E1" s="47" t="s">
        <v>123</v>
      </c>
      <c r="F1" s="47" t="s">
        <v>59</v>
      </c>
    </row>
    <row r="2">
      <c r="A2" s="48">
        <v>45915.0</v>
      </c>
      <c r="B2" s="49" t="s">
        <v>124</v>
      </c>
      <c r="C2" s="49" t="s">
        <v>125</v>
      </c>
      <c r="D2" s="49" t="s">
        <v>126</v>
      </c>
      <c r="E2" s="49">
        <v>5982.22</v>
      </c>
    </row>
    <row r="3">
      <c r="A3" s="48">
        <v>45917.0</v>
      </c>
      <c r="B3" s="49" t="s">
        <v>127</v>
      </c>
      <c r="C3" s="49" t="s">
        <v>128</v>
      </c>
      <c r="D3" s="49" t="s">
        <v>126</v>
      </c>
      <c r="E3" s="49">
        <v>4800.0</v>
      </c>
    </row>
    <row r="4">
      <c r="A4" s="48">
        <v>45925.0</v>
      </c>
      <c r="B4" s="49" t="s">
        <v>127</v>
      </c>
      <c r="C4" s="49" t="s">
        <v>128</v>
      </c>
      <c r="D4" s="49" t="s">
        <v>129</v>
      </c>
      <c r="E4" s="49">
        <v>800.0</v>
      </c>
    </row>
    <row r="5">
      <c r="A5" s="48">
        <v>45930.0</v>
      </c>
      <c r="B5" s="49" t="s">
        <v>127</v>
      </c>
      <c r="C5" s="49" t="s">
        <v>128</v>
      </c>
      <c r="D5" s="49" t="s">
        <v>129</v>
      </c>
      <c r="E5" s="49">
        <v>7200.0</v>
      </c>
    </row>
    <row r="6">
      <c r="A6" s="48">
        <v>45944.0</v>
      </c>
      <c r="B6" s="49" t="s">
        <v>127</v>
      </c>
      <c r="C6" s="49" t="s">
        <v>130</v>
      </c>
      <c r="D6" s="49" t="s">
        <v>129</v>
      </c>
      <c r="E6" s="49">
        <v>150.0</v>
      </c>
    </row>
    <row r="7">
      <c r="A7" s="48">
        <v>45945.0</v>
      </c>
      <c r="B7" s="49" t="s">
        <v>127</v>
      </c>
      <c r="C7" s="49" t="s">
        <v>131</v>
      </c>
      <c r="D7" s="49" t="s">
        <v>129</v>
      </c>
      <c r="E7" s="49">
        <v>5500.0</v>
      </c>
    </row>
    <row r="8">
      <c r="A8" s="48">
        <v>45947.0</v>
      </c>
      <c r="B8" s="49" t="s">
        <v>127</v>
      </c>
      <c r="C8" s="49" t="s">
        <v>132</v>
      </c>
      <c r="D8" s="49" t="s">
        <v>129</v>
      </c>
      <c r="E8" s="49">
        <v>900.0</v>
      </c>
    </row>
    <row r="9">
      <c r="A9" s="48">
        <v>45948.0</v>
      </c>
      <c r="B9" s="49" t="s">
        <v>127</v>
      </c>
      <c r="C9" s="49" t="s">
        <v>133</v>
      </c>
      <c r="D9" s="49" t="s">
        <v>129</v>
      </c>
      <c r="E9" s="49">
        <v>450.0</v>
      </c>
    </row>
    <row r="10">
      <c r="A10" s="48">
        <v>45951.0</v>
      </c>
      <c r="B10" s="49" t="s">
        <v>127</v>
      </c>
      <c r="C10" s="49" t="s">
        <v>134</v>
      </c>
      <c r="D10" s="49" t="s">
        <v>129</v>
      </c>
      <c r="E10" s="49">
        <v>600.0</v>
      </c>
    </row>
    <row r="11">
      <c r="A11" s="48">
        <v>45954.0</v>
      </c>
      <c r="B11" s="49" t="s">
        <v>127</v>
      </c>
      <c r="C11" s="49" t="s">
        <v>135</v>
      </c>
      <c r="D11" s="49" t="s">
        <v>129</v>
      </c>
      <c r="E11" s="49">
        <v>600.0</v>
      </c>
    </row>
    <row r="12">
      <c r="A12" s="48">
        <v>45955.0</v>
      </c>
      <c r="B12" s="53" t="s">
        <v>77</v>
      </c>
      <c r="C12" s="49" t="s">
        <v>136</v>
      </c>
      <c r="D12" s="49" t="s">
        <v>129</v>
      </c>
      <c r="E12" s="49">
        <v>671.0</v>
      </c>
    </row>
    <row r="13">
      <c r="A13" s="48">
        <v>45957.0</v>
      </c>
      <c r="B13" s="53" t="s">
        <v>77</v>
      </c>
      <c r="C13" s="49" t="s">
        <v>137</v>
      </c>
      <c r="D13" s="49" t="s">
        <v>129</v>
      </c>
      <c r="E13" s="49">
        <v>570.0</v>
      </c>
    </row>
    <row r="14">
      <c r="A14" s="48">
        <v>45975.0</v>
      </c>
      <c r="B14" s="49" t="s">
        <v>127</v>
      </c>
      <c r="C14" s="49" t="s">
        <v>128</v>
      </c>
      <c r="D14" s="49" t="s">
        <v>129</v>
      </c>
      <c r="E14" s="49">
        <v>600.0</v>
      </c>
    </row>
    <row r="15">
      <c r="A15" s="48">
        <v>45976.0</v>
      </c>
      <c r="B15" s="49" t="s">
        <v>127</v>
      </c>
      <c r="C15" s="49" t="s">
        <v>128</v>
      </c>
      <c r="D15" s="49" t="s">
        <v>129</v>
      </c>
      <c r="E15" s="49">
        <v>5400.0</v>
      </c>
    </row>
    <row r="16">
      <c r="A16" s="48">
        <v>45981.0</v>
      </c>
      <c r="B16" s="49" t="s">
        <v>127</v>
      </c>
      <c r="C16" s="49" t="s">
        <v>138</v>
      </c>
      <c r="D16" s="49" t="s">
        <v>129</v>
      </c>
      <c r="E16" s="49">
        <v>350.0</v>
      </c>
    </row>
    <row r="17">
      <c r="A17" s="48">
        <v>45983.0</v>
      </c>
      <c r="B17" s="49" t="s">
        <v>127</v>
      </c>
      <c r="C17" s="49" t="s">
        <v>138</v>
      </c>
      <c r="D17" s="49" t="s">
        <v>129</v>
      </c>
      <c r="E17" s="49">
        <v>300.0</v>
      </c>
    </row>
    <row r="18">
      <c r="A18" s="48">
        <v>45988.0</v>
      </c>
      <c r="B18" s="53" t="s">
        <v>77</v>
      </c>
      <c r="C18" s="49" t="s">
        <v>139</v>
      </c>
      <c r="D18" s="49" t="s">
        <v>129</v>
      </c>
      <c r="E18" s="49">
        <v>975.0</v>
      </c>
    </row>
    <row r="19">
      <c r="A19" s="48">
        <v>45990.0</v>
      </c>
      <c r="B19" s="49" t="s">
        <v>127</v>
      </c>
      <c r="C19" s="49" t="s">
        <v>140</v>
      </c>
      <c r="D19" s="49" t="s">
        <v>129</v>
      </c>
      <c r="E19" s="49">
        <v>194.0</v>
      </c>
    </row>
    <row r="20">
      <c r="A20" s="52">
        <v>46002.0</v>
      </c>
      <c r="B20" s="41" t="s">
        <v>141</v>
      </c>
      <c r="C20" s="41" t="s">
        <v>142</v>
      </c>
      <c r="D20" s="41" t="s">
        <v>126</v>
      </c>
      <c r="E20" s="41">
        <v>675.0</v>
      </c>
      <c r="F20" s="4"/>
    </row>
    <row r="21" ht="15.75" customHeight="1">
      <c r="A21" s="50">
        <v>46003.0</v>
      </c>
      <c r="B21" s="44" t="s">
        <v>127</v>
      </c>
      <c r="C21" s="44" t="s">
        <v>143</v>
      </c>
      <c r="D21" s="44" t="s">
        <v>129</v>
      </c>
      <c r="E21" s="44">
        <v>200.0</v>
      </c>
      <c r="F21" s="4"/>
    </row>
    <row r="22" ht="15.75" customHeight="1">
      <c r="A22" s="50">
        <v>46003.0</v>
      </c>
      <c r="B22" s="51" t="s">
        <v>124</v>
      </c>
      <c r="C22" s="44" t="s">
        <v>144</v>
      </c>
      <c r="D22" s="44" t="s">
        <v>129</v>
      </c>
      <c r="E22" s="44">
        <v>50.0</v>
      </c>
      <c r="F22" s="4"/>
    </row>
    <row r="23" ht="15.75" customHeight="1">
      <c r="A23" s="50">
        <v>42351.0</v>
      </c>
      <c r="B23" s="44" t="s">
        <v>77</v>
      </c>
      <c r="C23" s="44" t="s">
        <v>145</v>
      </c>
      <c r="D23" s="44" t="s">
        <v>129</v>
      </c>
      <c r="E23" s="44">
        <v>120.0</v>
      </c>
      <c r="F23" s="4"/>
    </row>
    <row r="24" ht="15.75" customHeight="1">
      <c r="A24" s="50">
        <v>46004.0</v>
      </c>
      <c r="B24" s="41" t="s">
        <v>77</v>
      </c>
      <c r="C24" s="44" t="s">
        <v>146</v>
      </c>
      <c r="D24" s="41" t="s">
        <v>129</v>
      </c>
      <c r="E24" s="41">
        <v>500.0</v>
      </c>
      <c r="F24" s="4"/>
    </row>
    <row r="25" ht="15.75" customHeight="1">
      <c r="A25" s="50">
        <v>46006.0</v>
      </c>
      <c r="B25" s="44" t="s">
        <v>77</v>
      </c>
      <c r="C25" s="44" t="s">
        <v>147</v>
      </c>
      <c r="D25" s="44" t="s">
        <v>129</v>
      </c>
      <c r="E25" s="44">
        <v>600.0</v>
      </c>
      <c r="F25" s="4"/>
    </row>
    <row r="26" ht="15.75" customHeight="1">
      <c r="A26" s="50">
        <v>46008.0</v>
      </c>
      <c r="B26" s="44" t="s">
        <v>124</v>
      </c>
      <c r="C26" s="44" t="s">
        <v>148</v>
      </c>
      <c r="D26" s="44" t="s">
        <v>129</v>
      </c>
      <c r="E26" s="44">
        <v>1000.0</v>
      </c>
      <c r="F26" s="4"/>
    </row>
    <row r="27" ht="15.75" customHeight="1">
      <c r="A27" s="50">
        <v>46008.0</v>
      </c>
      <c r="B27" s="44" t="s">
        <v>127</v>
      </c>
      <c r="C27" s="44" t="s">
        <v>149</v>
      </c>
      <c r="D27" s="44" t="s">
        <v>129</v>
      </c>
      <c r="E27" s="4"/>
      <c r="F27" s="4"/>
    </row>
    <row r="28" ht="15.75" customHeight="1">
      <c r="A28" s="50">
        <v>46009.0</v>
      </c>
      <c r="B28" s="44" t="s">
        <v>77</v>
      </c>
      <c r="C28" s="44" t="s">
        <v>150</v>
      </c>
      <c r="D28" s="44" t="s">
        <v>129</v>
      </c>
      <c r="E28" s="44">
        <v>664.0</v>
      </c>
      <c r="F28" s="4"/>
    </row>
    <row r="29" ht="15.75" customHeight="1">
      <c r="A29" s="50">
        <v>46009.0</v>
      </c>
      <c r="B29" s="44" t="s">
        <v>77</v>
      </c>
      <c r="C29" s="44" t="s">
        <v>151</v>
      </c>
      <c r="D29" s="44" t="s">
        <v>152</v>
      </c>
      <c r="E29" s="4"/>
      <c r="F29" s="4"/>
    </row>
    <row r="30" ht="15.75" customHeight="1">
      <c r="A30" s="50">
        <v>46013.0</v>
      </c>
      <c r="B30" s="44" t="s">
        <v>77</v>
      </c>
      <c r="C30" s="44" t="s">
        <v>153</v>
      </c>
      <c r="D30" s="44" t="s">
        <v>129</v>
      </c>
      <c r="E30" s="45">
        <v>1401.0</v>
      </c>
      <c r="F30" s="4"/>
    </row>
    <row r="31" ht="15.75" customHeight="1">
      <c r="A31" s="50">
        <v>46013.0</v>
      </c>
      <c r="B31" s="44" t="s">
        <v>127</v>
      </c>
      <c r="C31" s="44" t="s">
        <v>154</v>
      </c>
      <c r="D31" s="44" t="s">
        <v>129</v>
      </c>
      <c r="E31" s="44">
        <v>800.0</v>
      </c>
      <c r="F31" s="4"/>
    </row>
    <row r="32" ht="15.75" customHeight="1">
      <c r="A32" s="4"/>
      <c r="B32" s="44" t="s">
        <v>155</v>
      </c>
      <c r="C32" s="44" t="s">
        <v>156</v>
      </c>
      <c r="D32" s="44" t="s">
        <v>129</v>
      </c>
      <c r="E32" s="44">
        <v>704.0</v>
      </c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0" t="s">
        <v>11</v>
      </c>
      <c r="B1" s="40" t="s">
        <v>1</v>
      </c>
      <c r="C1" s="40" t="s">
        <v>157</v>
      </c>
      <c r="D1" s="40" t="s">
        <v>158</v>
      </c>
      <c r="E1" s="40" t="s">
        <v>71</v>
      </c>
      <c r="F1" s="40" t="s">
        <v>159</v>
      </c>
      <c r="G1" s="40" t="s">
        <v>160</v>
      </c>
      <c r="H1" s="40" t="s">
        <v>75</v>
      </c>
    </row>
    <row r="2">
      <c r="A2" s="52">
        <v>46003.0</v>
      </c>
      <c r="B2" s="41" t="s">
        <v>106</v>
      </c>
      <c r="C2" s="41" t="s">
        <v>161</v>
      </c>
      <c r="D2" s="41">
        <v>2.0</v>
      </c>
      <c r="E2" s="41" t="s">
        <v>162</v>
      </c>
      <c r="F2" s="41" t="s">
        <v>163</v>
      </c>
    </row>
    <row r="3">
      <c r="A3" s="52">
        <v>46004.0</v>
      </c>
      <c r="B3" s="41" t="s">
        <v>106</v>
      </c>
      <c r="C3" s="41" t="s">
        <v>161</v>
      </c>
      <c r="D3" s="41">
        <v>1.0</v>
      </c>
      <c r="E3" s="41" t="s">
        <v>162</v>
      </c>
      <c r="F3" s="41" t="s">
        <v>163</v>
      </c>
    </row>
    <row r="4">
      <c r="A4" s="52">
        <v>46004.0</v>
      </c>
      <c r="B4" s="41" t="s">
        <v>107</v>
      </c>
      <c r="C4" s="41" t="s">
        <v>161</v>
      </c>
      <c r="D4" s="41">
        <v>1.5</v>
      </c>
      <c r="E4" s="41" t="s">
        <v>164</v>
      </c>
      <c r="F4" s="41" t="s">
        <v>163</v>
      </c>
    </row>
    <row r="5">
      <c r="A5" s="52">
        <v>46004.0</v>
      </c>
      <c r="B5" s="41" t="s">
        <v>80</v>
      </c>
      <c r="C5" s="41" t="s">
        <v>161</v>
      </c>
      <c r="D5" s="41">
        <v>74.0</v>
      </c>
      <c r="E5" s="41" t="s">
        <v>115</v>
      </c>
      <c r="F5" s="41" t="s">
        <v>163</v>
      </c>
    </row>
    <row r="6">
      <c r="A6" s="52">
        <v>46004.0</v>
      </c>
      <c r="B6" s="41" t="s">
        <v>108</v>
      </c>
      <c r="C6" s="41" t="s">
        <v>161</v>
      </c>
      <c r="D6" s="41">
        <v>1.0</v>
      </c>
      <c r="E6" s="41" t="s">
        <v>113</v>
      </c>
      <c r="F6" s="41" t="s">
        <v>163</v>
      </c>
    </row>
    <row r="7">
      <c r="A7" s="52">
        <v>46006.0</v>
      </c>
      <c r="B7" s="41" t="s">
        <v>111</v>
      </c>
      <c r="C7" s="41" t="s">
        <v>161</v>
      </c>
      <c r="D7" s="41">
        <v>1.0</v>
      </c>
      <c r="E7" s="41" t="s">
        <v>113</v>
      </c>
      <c r="F7" s="41" t="s">
        <v>163</v>
      </c>
    </row>
    <row r="8">
      <c r="A8" s="52">
        <v>46008.0</v>
      </c>
      <c r="B8" s="41" t="s">
        <v>108</v>
      </c>
      <c r="C8" s="41" t="s">
        <v>161</v>
      </c>
      <c r="D8" s="41">
        <v>1.5</v>
      </c>
      <c r="E8" s="41" t="s">
        <v>113</v>
      </c>
      <c r="F8" s="41" t="s">
        <v>163</v>
      </c>
    </row>
    <row r="9">
      <c r="A9" s="52">
        <v>46008.0</v>
      </c>
      <c r="B9" s="41" t="s">
        <v>107</v>
      </c>
      <c r="C9" s="41" t="s">
        <v>161</v>
      </c>
      <c r="D9" s="41">
        <v>1.5</v>
      </c>
      <c r="E9" s="41" t="s">
        <v>113</v>
      </c>
      <c r="F9" s="41" t="s">
        <v>163</v>
      </c>
    </row>
    <row r="10">
      <c r="A10" s="52">
        <v>46009.0</v>
      </c>
      <c r="B10" s="41" t="s">
        <v>165</v>
      </c>
      <c r="C10" s="41" t="s">
        <v>161</v>
      </c>
      <c r="D10" s="41">
        <v>900.0</v>
      </c>
      <c r="E10" s="41" t="s">
        <v>166</v>
      </c>
      <c r="F10" s="41" t="s">
        <v>163</v>
      </c>
    </row>
    <row r="11">
      <c r="A11" s="52">
        <v>46009.0</v>
      </c>
      <c r="B11" s="41" t="s">
        <v>167</v>
      </c>
      <c r="C11" s="41" t="s">
        <v>161</v>
      </c>
      <c r="D11" s="41">
        <v>0.5</v>
      </c>
      <c r="E11" s="41" t="s">
        <v>113</v>
      </c>
      <c r="F11" s="41" t="s">
        <v>168</v>
      </c>
    </row>
    <row r="12">
      <c r="A12" s="52">
        <v>46009.0</v>
      </c>
      <c r="B12" s="41" t="s">
        <v>169</v>
      </c>
      <c r="C12" s="41" t="s">
        <v>161</v>
      </c>
      <c r="D12" s="41">
        <v>2.0</v>
      </c>
      <c r="E12" s="41" t="s">
        <v>113</v>
      </c>
      <c r="F12" s="41" t="s">
        <v>168</v>
      </c>
    </row>
    <row r="13">
      <c r="A13" s="52">
        <v>46013.0</v>
      </c>
      <c r="B13" s="41" t="s">
        <v>118</v>
      </c>
      <c r="C13" s="41" t="s">
        <v>161</v>
      </c>
      <c r="D13" s="41">
        <v>1.0</v>
      </c>
      <c r="E13" s="41" t="s">
        <v>113</v>
      </c>
      <c r="F13" s="41" t="s">
        <v>168</v>
      </c>
    </row>
    <row r="14">
      <c r="A14" s="52">
        <v>46013.0</v>
      </c>
      <c r="B14" s="41" t="s">
        <v>167</v>
      </c>
      <c r="C14" s="41" t="s">
        <v>161</v>
      </c>
      <c r="D14" s="41">
        <v>0.5</v>
      </c>
      <c r="E14" s="41" t="s">
        <v>113</v>
      </c>
      <c r="F14" s="41" t="s">
        <v>168</v>
      </c>
    </row>
    <row r="15">
      <c r="A15" s="52">
        <v>46014.0</v>
      </c>
      <c r="B15" s="41" t="s">
        <v>169</v>
      </c>
      <c r="C15" s="41" t="s">
        <v>161</v>
      </c>
      <c r="D15" s="41">
        <v>5.0</v>
      </c>
      <c r="E15" s="41" t="s">
        <v>113</v>
      </c>
      <c r="F15" s="41" t="s">
        <v>168</v>
      </c>
    </row>
    <row r="16">
      <c r="A16" s="52">
        <v>46015.0</v>
      </c>
      <c r="B16" s="41" t="s">
        <v>170</v>
      </c>
      <c r="C16" s="41" t="s">
        <v>161</v>
      </c>
      <c r="D16" s="41">
        <v>3.0</v>
      </c>
      <c r="E16" s="41" t="s">
        <v>115</v>
      </c>
      <c r="F16" s="41" t="s">
        <v>168</v>
      </c>
    </row>
    <row r="17">
      <c r="A17" s="52">
        <v>46016.0</v>
      </c>
    </row>
    <row r="18">
      <c r="A18" s="52">
        <v>46017.0</v>
      </c>
    </row>
    <row r="19">
      <c r="A19" s="52">
        <v>46018.0</v>
      </c>
    </row>
    <row r="20">
      <c r="A20" s="52">
        <v>46019.0</v>
      </c>
    </row>
    <row r="21">
      <c r="A21" s="52">
        <v>46020.0</v>
      </c>
    </row>
    <row r="22">
      <c r="A22" s="52">
        <v>46021.0</v>
      </c>
    </row>
    <row r="23">
      <c r="A23" s="52">
        <v>46022.0</v>
      </c>
    </row>
    <row r="24">
      <c r="A24" s="52">
        <v>46023.0</v>
      </c>
    </row>
    <row r="25">
      <c r="A25" s="52">
        <v>46024.0</v>
      </c>
    </row>
    <row r="26">
      <c r="A26" s="52">
        <v>46025.0</v>
      </c>
    </row>
    <row r="27">
      <c r="A27" s="52">
        <v>46026.0</v>
      </c>
    </row>
    <row r="28">
      <c r="A28" s="52">
        <v>46027.0</v>
      </c>
    </row>
    <row r="29">
      <c r="A29" s="52">
        <v>46028.0</v>
      </c>
    </row>
    <row r="30">
      <c r="A30" s="52">
        <v>46029.0</v>
      </c>
    </row>
    <row r="31">
      <c r="A31" s="52">
        <v>46030.0</v>
      </c>
    </row>
    <row r="32">
      <c r="A32" s="52">
        <v>46031.0</v>
      </c>
    </row>
    <row r="33">
      <c r="A33" s="52">
        <v>46032.0</v>
      </c>
    </row>
    <row r="34">
      <c r="A34" s="52">
        <v>46033.0</v>
      </c>
    </row>
    <row r="35">
      <c r="A35" s="52">
        <v>46034.0</v>
      </c>
    </row>
    <row r="36">
      <c r="A36" s="52">
        <v>46035.0</v>
      </c>
    </row>
    <row r="37">
      <c r="A37" s="52">
        <v>46036.0</v>
      </c>
    </row>
    <row r="38">
      <c r="A38" s="52">
        <v>46037.0</v>
      </c>
    </row>
    <row r="39">
      <c r="A39" s="52">
        <v>46038.0</v>
      </c>
    </row>
    <row r="40">
      <c r="A40" s="52">
        <v>46039.0</v>
      </c>
    </row>
    <row r="41">
      <c r="A41" s="52">
        <v>46040.0</v>
      </c>
    </row>
    <row r="42">
      <c r="A42" s="52">
        <v>46041.0</v>
      </c>
    </row>
    <row r="43">
      <c r="A43" s="52">
        <v>46042.0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4" t="s">
        <v>1</v>
      </c>
      <c r="B1" s="54" t="s">
        <v>71</v>
      </c>
      <c r="C1" s="54" t="s">
        <v>171</v>
      </c>
      <c r="D1" s="54" t="s">
        <v>172</v>
      </c>
      <c r="E1" s="54" t="s">
        <v>173</v>
      </c>
    </row>
    <row r="2">
      <c r="A2" s="55" t="s">
        <v>167</v>
      </c>
      <c r="B2" s="55" t="s">
        <v>113</v>
      </c>
      <c r="C2" s="56">
        <f>IFERROR(SUMIFS(StockInOut!$D:$D,StockInOut!$B:$B,$A2,StockInOut!$C:$C,"IN"),0)</f>
        <v>4</v>
      </c>
      <c r="D2" s="56">
        <f>IFERROR(SUMIFS(StockInOut!$D:$D,StockInOut!$B:$B,$A2,StockInOut!$C:$C,"OUT"),0)</f>
        <v>0</v>
      </c>
      <c r="E2" s="56">
        <f t="shared" ref="E2:E9" si="1">C2-D2</f>
        <v>4</v>
      </c>
    </row>
    <row r="3">
      <c r="A3" s="55" t="s">
        <v>174</v>
      </c>
      <c r="B3" s="55" t="s">
        <v>113</v>
      </c>
      <c r="C3" s="56">
        <f>IFERROR(SUMIFS(StockInOut!$D:$D,StockInOut!$B:$B,$A3,StockInOut!$C:$C,"IN"),0)</f>
        <v>2.5</v>
      </c>
      <c r="D3" s="56">
        <f>IFERROR(SUMIFS(StockInOut!$D:$D,StockInOut!$B:$B,$A3,StockInOut!$C:$C,"OUT"),0)</f>
        <v>0</v>
      </c>
      <c r="E3" s="56">
        <f t="shared" si="1"/>
        <v>2.5</v>
      </c>
    </row>
    <row r="4">
      <c r="A4" s="55" t="s">
        <v>165</v>
      </c>
      <c r="B4" s="55" t="s">
        <v>113</v>
      </c>
      <c r="C4" s="56">
        <f>IFERROR(SUMIFS(StockInOut!$D:$D,StockInOut!$B:$B,$A4,StockInOut!$C:$C,"IN"),0)</f>
        <v>900</v>
      </c>
      <c r="D4" s="56">
        <f>IFERROR(SUMIFS(StockInOut!$D:$D,StockInOut!$B:$B,$A4,StockInOut!$C:$C,"OUT"),0)</f>
        <v>0</v>
      </c>
      <c r="E4" s="56">
        <f t="shared" si="1"/>
        <v>900</v>
      </c>
    </row>
    <row r="5">
      <c r="A5" s="55" t="s">
        <v>175</v>
      </c>
      <c r="B5" s="55" t="s">
        <v>113</v>
      </c>
      <c r="C5" s="56">
        <f>IFERROR(SUMIFS(StockInOut!$D:$D,StockInOut!$B:$B,$A5,StockInOut!$C:$C,"IN"),0)</f>
        <v>0</v>
      </c>
      <c r="D5" s="56">
        <f>IFERROR(SUMIFS(StockInOut!$D:$D,StockInOut!$B:$B,$A5,StockInOut!$C:$C,"OUT"),0)</f>
        <v>0</v>
      </c>
      <c r="E5" s="56">
        <f t="shared" si="1"/>
        <v>0</v>
      </c>
    </row>
    <row r="6">
      <c r="A6" s="55" t="s">
        <v>169</v>
      </c>
      <c r="B6" s="55" t="s">
        <v>113</v>
      </c>
      <c r="C6" s="56">
        <f>IFERROR(SUMIFS(StockInOut!$D:$D,StockInOut!$B:$B,$A6,StockInOut!$C:$C,"IN"),0)</f>
        <v>8</v>
      </c>
      <c r="D6" s="56">
        <f>IFERROR(SUMIFS(StockInOut!$D:$D,StockInOut!$B:$B,$A6,StockInOut!$C:$C,"OUT"),0)</f>
        <v>0</v>
      </c>
      <c r="E6" s="56">
        <f t="shared" si="1"/>
        <v>8</v>
      </c>
    </row>
    <row r="7">
      <c r="A7" s="55" t="s">
        <v>53</v>
      </c>
      <c r="B7" s="57" t="s">
        <v>162</v>
      </c>
      <c r="C7" s="56">
        <f>IFERROR(SUMIFS(StockInOut!$D:$D,StockInOut!$B:$B,$A7,StockInOut!$C:$C,"IN"),0)</f>
        <v>3</v>
      </c>
      <c r="D7" s="56">
        <f>IFERROR(SUMIFS(StockInOut!$D:$D,StockInOut!$B:$B,$A7,StockInOut!$C:$C,"OUT"),0)</f>
        <v>0</v>
      </c>
      <c r="E7" s="56">
        <f t="shared" si="1"/>
        <v>3</v>
      </c>
    </row>
    <row r="8">
      <c r="A8" s="55" t="s">
        <v>176</v>
      </c>
      <c r="B8" s="55" t="s">
        <v>177</v>
      </c>
      <c r="C8" s="56">
        <f>IFERROR(SUMIFS(StockInOut!$D:$D,StockInOut!$B:$B,$A8,StockInOut!$C:$C,"IN"),0)</f>
        <v>74</v>
      </c>
      <c r="D8" s="56">
        <f>IFERROR(SUMIFS(StockInOut!$D:$D,StockInOut!$B:$B,$A8,StockInOut!$C:$C,"OUT"),0)</f>
        <v>0</v>
      </c>
      <c r="E8" s="56">
        <f t="shared" si="1"/>
        <v>74</v>
      </c>
    </row>
    <row r="9">
      <c r="A9" s="55" t="s">
        <v>178</v>
      </c>
      <c r="B9" s="55" t="s">
        <v>179</v>
      </c>
      <c r="C9" s="56">
        <f>IFERROR(SUMIFS(StockInOut!$D:$D,StockInOut!$B:$B,$A9,StockInOut!$C:$C,"IN"),0)</f>
        <v>0</v>
      </c>
      <c r="D9" s="56">
        <f>IFERROR(SUMIFS(StockInOut!$D:$D,StockInOut!$B:$B,$A9,StockInOut!$C:$C,"OUT"),0)</f>
        <v>0</v>
      </c>
      <c r="E9" s="56">
        <f t="shared" si="1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4" width="20.0"/>
    <col customWidth="1" min="5" max="5" width="16.0"/>
    <col customWidth="1" min="6" max="6" width="14.0"/>
    <col customWidth="1" min="7" max="7" width="20.0"/>
    <col customWidth="1" min="8" max="26" width="8.71"/>
  </cols>
  <sheetData>
    <row r="1">
      <c r="A1" s="47" t="s">
        <v>180</v>
      </c>
      <c r="B1" s="47" t="s">
        <v>181</v>
      </c>
      <c r="C1" s="47" t="s">
        <v>182</v>
      </c>
      <c r="D1" s="47" t="s">
        <v>183</v>
      </c>
      <c r="E1" s="47" t="s">
        <v>184</v>
      </c>
      <c r="F1" s="47" t="s">
        <v>185</v>
      </c>
      <c r="G1" s="47" t="s">
        <v>75</v>
      </c>
    </row>
    <row r="2">
      <c r="A2" s="58">
        <v>45901.0</v>
      </c>
      <c r="B2" s="51">
        <f>SUMIFS(DailySummary!$E:$E,DailySummary!$A:$A,"&gt;="&amp;EOMONTH($A2,-1)+1,DailySummary!$A:$A,"&lt;="&amp;EOMONTH($A2,0))</f>
        <v>38912</v>
      </c>
      <c r="C2" s="51">
        <f>SUMIFS(Inventory!$G:$G,Inventory!$A:$A,"&gt;="&amp;EOMONTH($A2,-1)+1,Inventory!$A:$A,"&lt;="&amp;EOMONTH($A2,0))</f>
        <v>8489</v>
      </c>
      <c r="D2" s="51">
        <f>SUMIFS(Expenses!$E:$E,Expenses!$A:$A,"&gt;="&amp;EOMONTH($A2,-1)+1,Expenses!$A:$A,"&lt;="&amp;EOMONTH($A2,0))</f>
        <v>18782.22</v>
      </c>
      <c r="E2" s="51">
        <f t="shared" ref="E2:E9" si="1">C2+D2</f>
        <v>27271.22</v>
      </c>
      <c r="F2" s="51">
        <f t="shared" ref="F2:F9" si="2">B2-E2</f>
        <v>11640.78</v>
      </c>
      <c r="G2" s="4"/>
    </row>
    <row r="3">
      <c r="A3" s="58">
        <v>45931.0</v>
      </c>
      <c r="B3" s="51">
        <f>SUMIFS(DailySummary!$E:$E,DailySummary!$A:$A,"&gt;="&amp;EOMONTH($A3,-1)+1,DailySummary!$A:$A,"&lt;="&amp;EOMONTH($A3,0))</f>
        <v>28696</v>
      </c>
      <c r="C3" s="51">
        <f>SUMIFS(Inventory!$G:$G,Inventory!$A:$A,"&gt;="&amp;EOMONTH($A3,-1)+1,Inventory!$A:$A,"&lt;="&amp;EOMONTH($A3,0))</f>
        <v>13867</v>
      </c>
      <c r="D3" s="51">
        <f>SUMIFS(Expenses!$E:$E,Expenses!$A:$A,"&gt;="&amp;EOMONTH($A3,-1)+1,Expenses!$A:$A,"&lt;="&amp;EOMONTH($A3,0))</f>
        <v>9441</v>
      </c>
      <c r="E3" s="51">
        <f t="shared" si="1"/>
        <v>23308</v>
      </c>
      <c r="F3" s="51">
        <f t="shared" si="2"/>
        <v>5388</v>
      </c>
      <c r="G3" s="4"/>
    </row>
    <row r="4">
      <c r="A4" s="58">
        <v>45962.0</v>
      </c>
      <c r="B4" s="51">
        <f>SUMIFS(DailySummary!$E:$E,DailySummary!$A:$A,"&gt;="&amp;EOMONTH($A4,-1)+1,DailySummary!$A:$A,"&lt;="&amp;EOMONTH($A4,0))</f>
        <v>26536</v>
      </c>
      <c r="C4" s="51">
        <f>SUMIFS(Inventory!$G:$G,Inventory!$A:$A,"&gt;="&amp;EOMONTH($A4,-1)+1,Inventory!$A:$A,"&lt;="&amp;EOMONTH($A4,0))</f>
        <v>7618</v>
      </c>
      <c r="D4" s="51">
        <f>SUMIFS(Expenses!$E:$E,Expenses!$A:$A,"&gt;="&amp;EOMONTH($A4,-1)+1,Expenses!$A:$A,"&lt;="&amp;EOMONTH($A4,0))</f>
        <v>7819</v>
      </c>
      <c r="E4" s="51">
        <f t="shared" si="1"/>
        <v>15437</v>
      </c>
      <c r="F4" s="51">
        <f t="shared" si="2"/>
        <v>11099</v>
      </c>
      <c r="G4" s="4"/>
    </row>
    <row r="5">
      <c r="A5" s="58">
        <v>45992.0</v>
      </c>
      <c r="B5" s="51">
        <f>SUMIFS(DailySummary!$E:$E,DailySummary!$A:$A,"&gt;="&amp;EOMONTH($A5,-1)+1,DailySummary!$A:$A,"&lt;="&amp;EOMONTH($A5,0))</f>
        <v>17052</v>
      </c>
      <c r="C5" s="51">
        <f>SUMIFS(Inventory!$G:$G,Inventory!$A:$A,"&gt;="&amp;EOMONTH($A5,-1)+1,Inventory!$A:$A,"&lt;="&amp;EOMONTH($A5,0))</f>
        <v>6474</v>
      </c>
      <c r="D5" s="51">
        <f>SUMIFS(Expenses!$E:$E,Expenses!$A:$A,"&gt;="&amp;EOMONTH($A5,-1)+1,Expenses!$A:$A,"&lt;="&amp;EOMONTH($A5,0))</f>
        <v>5890</v>
      </c>
      <c r="E5" s="51">
        <f t="shared" si="1"/>
        <v>12364</v>
      </c>
      <c r="F5" s="51">
        <f t="shared" si="2"/>
        <v>4688</v>
      </c>
      <c r="G5" s="4"/>
    </row>
    <row r="6">
      <c r="A6" s="58">
        <v>46023.0</v>
      </c>
      <c r="B6" s="51">
        <f>SUMIFS(DailySummary!$E:$E,DailySummary!$A:$A,"&gt;="&amp;EOMONTH($A6,-1)+1,DailySummary!$A:$A,"&lt;="&amp;EOMONTH($A6,0))</f>
        <v>0</v>
      </c>
      <c r="C6" s="51">
        <f>SUMIFS(Inventory!$G:$G,Inventory!$A:$A,"&gt;="&amp;EOMONTH($A6,-1)+1,Inventory!$A:$A,"&lt;="&amp;EOMONTH($A6,0))</f>
        <v>0</v>
      </c>
      <c r="D6" s="51">
        <f>SUMIFS(Expenses!$E:$E,Expenses!$A:$A,"&gt;="&amp;EOMONTH($A6,-1)+1,Expenses!$A:$A,"&lt;="&amp;EOMONTH($A6,0))</f>
        <v>0</v>
      </c>
      <c r="E6" s="51">
        <f t="shared" si="1"/>
        <v>0</v>
      </c>
      <c r="F6" s="51">
        <f t="shared" si="2"/>
        <v>0</v>
      </c>
      <c r="G6" s="4"/>
    </row>
    <row r="7">
      <c r="A7" s="58">
        <v>46082.0</v>
      </c>
      <c r="B7" s="51">
        <f>SUMIFS(DailySummary!$E:$E,DailySummary!$A:$A,"&gt;="&amp;EOMONTH($A7,-1)+1,DailySummary!$A:$A,"&lt;="&amp;EOMONTH($A7,0))</f>
        <v>0</v>
      </c>
      <c r="C7" s="51">
        <f>SUMIFS(Inventory!$G:$G,Inventory!$A:$A,"&gt;="&amp;EOMONTH($A7,-1)+1,Inventory!$A:$A,"&lt;="&amp;EOMONTH($A7,0))</f>
        <v>0</v>
      </c>
      <c r="D7" s="51">
        <f>SUMIFS(Expenses!$E:$E,Expenses!$A:$A,"&gt;="&amp;EOMONTH($A7,-1)+1,Expenses!$A:$A,"&lt;="&amp;EOMONTH($A7,0))</f>
        <v>0</v>
      </c>
      <c r="E7" s="51">
        <f t="shared" si="1"/>
        <v>0</v>
      </c>
      <c r="F7" s="51">
        <f t="shared" si="2"/>
        <v>0</v>
      </c>
      <c r="G7" s="4"/>
    </row>
    <row r="8">
      <c r="A8" s="58">
        <v>46113.0</v>
      </c>
      <c r="B8" s="51">
        <f>SUMIFS(DailySummary!$E:$E,DailySummary!$A:$A,"&gt;="&amp;EOMONTH($A8,-1)+1,DailySummary!$A:$A,"&lt;="&amp;EOMONTH($A8,0))</f>
        <v>0</v>
      </c>
      <c r="C8" s="51">
        <f>SUMIFS(Inventory!$G:$G,Inventory!$A:$A,"&gt;="&amp;EOMONTH($A8,-1)+1,Inventory!$A:$A,"&lt;="&amp;EOMONTH($A8,0))</f>
        <v>0</v>
      </c>
      <c r="D8" s="51">
        <f>SUMIFS(Expenses!$E:$E,Expenses!$A:$A,"&gt;="&amp;EOMONTH($A8,-1)+1,Expenses!$A:$A,"&lt;="&amp;EOMONTH($A8,0))</f>
        <v>0</v>
      </c>
      <c r="E8" s="51">
        <f t="shared" si="1"/>
        <v>0</v>
      </c>
      <c r="F8" s="51">
        <f t="shared" si="2"/>
        <v>0</v>
      </c>
      <c r="G8" s="4"/>
    </row>
    <row r="9">
      <c r="A9" s="58">
        <v>46143.0</v>
      </c>
      <c r="B9" s="51">
        <f>SUMIFS(DailySummary!$E:$E,DailySummary!$A:$A,"&gt;="&amp;EOMONTH($A9,-1)+1,DailySummary!$A:$A,"&lt;="&amp;EOMONTH($A9,0))</f>
        <v>0</v>
      </c>
      <c r="C9" s="51">
        <f>SUMIFS(Inventory!$G:$G,Inventory!$A:$A,"&gt;="&amp;EOMONTH($A9,-1)+1,Inventory!$A:$A,"&lt;="&amp;EOMONTH($A9,0))</f>
        <v>0</v>
      </c>
      <c r="D9" s="51">
        <f>SUMIFS(Expenses!$E:$E,Expenses!$A:$A,"&gt;="&amp;EOMONTH($A9,-1)+1,Expenses!$A:$A,"&lt;="&amp;EOMONTH($A9,0))</f>
        <v>0</v>
      </c>
      <c r="E9" s="51">
        <f t="shared" si="1"/>
        <v>0</v>
      </c>
      <c r="F9" s="51">
        <f t="shared" si="2"/>
        <v>0</v>
      </c>
      <c r="G9" s="4"/>
    </row>
    <row r="10">
      <c r="A10" s="4"/>
      <c r="B10" s="4"/>
      <c r="C10" s="4"/>
      <c r="D10" s="4"/>
      <c r="E10" s="4"/>
      <c r="F10" s="4"/>
      <c r="G10" s="4"/>
    </row>
    <row r="11">
      <c r="A11" s="4"/>
      <c r="B11" s="4"/>
      <c r="C11" s="4"/>
      <c r="D11" s="4"/>
      <c r="E11" s="4"/>
      <c r="F11" s="4"/>
      <c r="G11" s="4"/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 ht="15.75" customHeight="1">
      <c r="A21" s="4"/>
      <c r="B21" s="4"/>
      <c r="C21" s="4"/>
      <c r="D21" s="4"/>
      <c r="E21" s="4"/>
      <c r="F21" s="4"/>
      <c r="G21" s="4"/>
    </row>
    <row r="22" ht="15.75" customHeight="1">
      <c r="A22" s="4"/>
      <c r="B22" s="4"/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75" customHeight="1">
      <c r="A24" s="4"/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printOptions/>
  <pageMargins bottom="1.0" footer="0.0" header="0.0" left="0.75" right="0.75" top="1.0"/>
  <pageSetup orientation="landscape"/>
  <drawing r:id="rId1"/>
</worksheet>
</file>